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56429-2022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44891</v>
      </c>
      <c r="E2" s="1" t="n">
        <v>46323</v>
      </c>
      <c r="F2" t="inlineStr">
        <is>
          <t>VÄSTRA GÖTALANDS LÄN</t>
        </is>
      </c>
      <c r="G2" t="inlineStr">
        <is>
          <t>ESSUNGA</t>
        </is>
      </c>
      <c r="I2" t="n">
        <v>4.6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s="2" t="inlineStr">
        <is>
          <t>Blomkålssvamp</t>
        </is>
      </c>
      <c r="W2">
        <f>HYPERLINK("https://klasma.github.io/Logging_1445/artfynd/A 56429-2022 artfynd.xlsx", "A 56429-2022")</f>
        <v/>
      </c>
      <c r="X2">
        <f>HYPERLINK("https://klasma.github.io/Logging_1445/kartor/A 56429-2022 karta.png", "A 56429-2022")</f>
        <v/>
      </c>
      <c r="Y2">
        <f>HYPERLINK("https://klasma.github.io/Logging_1445/kartor_geotiff/A 56429-2022 georefererad karta.tif", "A 56429-2022")</f>
        <v/>
      </c>
      <c r="AA2">
        <f>HYPERLINK("https://klasma.github.io/Logging_1445/klagomål/A 56429-2022 FSC-klagomål.docx", "A 56429-2022")</f>
        <v/>
      </c>
      <c r="AB2">
        <f>HYPERLINK("https://klasma.github.io/Logging_1445/klagomålsmail/A 56429-2022 FSC-klagomål mail.docx", "A 56429-2022")</f>
        <v/>
      </c>
      <c r="AC2">
        <f>HYPERLINK("https://klasma.github.io/Logging_1445/tillsyn/A 56429-2022 tillsynsbegäran.docx", "A 56429-2022")</f>
        <v/>
      </c>
      <c r="AD2">
        <f>HYPERLINK("https://klasma.github.io/Logging_1445/tillsynsmail/A 56429-2022 tillsynsbegäran mail.docx", "A 56429-2022")</f>
        <v/>
      </c>
    </row>
    <row r="3" ht="15" customHeight="1">
      <c r="A3" t="inlineStr">
        <is>
          <t>A 40387-2026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46294</v>
      </c>
      <c r="E3" s="1" t="n">
        <v>46323</v>
      </c>
      <c r="F3" t="inlineStr">
        <is>
          <t>VÄSTRA GÖTALANDS LÄN</t>
        </is>
      </c>
      <c r="G3" t="inlineStr">
        <is>
          <t>ESSUNGA</t>
        </is>
      </c>
      <c r="I3" t="n">
        <v>2.5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s="2" t="inlineStr">
        <is>
          <t>Röd glada</t>
        </is>
      </c>
      <c r="W3">
        <f>HYPERLINK("https://klasma.github.io/Logging_1445/artfynd/A 40387-2026 artfynd.xlsx", "A 40387-2026")</f>
        <v/>
      </c>
      <c r="X3">
        <f>HYPERLINK("https://klasma.github.io/Logging_1445/kartor/A 40387-2026 karta.png", "A 40387-2026")</f>
        <v/>
      </c>
      <c r="Y3">
        <f>HYPERLINK("https://klasma.github.io/Logging_1445/kartor_geotiff/A 40387-2026 georefererad karta.tif", "A 40387-2026")</f>
        <v/>
      </c>
      <c r="AA3">
        <f>HYPERLINK("https://klasma.github.io/Logging_1445/klagomål/A 40387-2026 FSC-klagomål.docx", "A 40387-2026")</f>
        <v/>
      </c>
      <c r="AB3">
        <f>HYPERLINK("https://klasma.github.io/Logging_1445/klagomålsmail/A 40387-2026 FSC-klagomål mail.docx", "A 40387-2026")</f>
        <v/>
      </c>
      <c r="AC3">
        <f>HYPERLINK("https://klasma.github.io/Logging_1445/tillsyn/A 40387-2026 tillsynsbegäran.docx", "A 40387-2026")</f>
        <v/>
      </c>
      <c r="AD3">
        <f>HYPERLINK("https://klasma.github.io/Logging_1445/tillsynsmail/A 40387-2026 tillsynsbegäran mail.docx", "A 40387-2026")</f>
        <v/>
      </c>
      <c r="AE3">
        <f>HYPERLINK("https://klasma.github.io/Logging_1445/fåglar/A 40387-2026 prioriterade fågelarter.docx", "A 40387-2026")</f>
        <v/>
      </c>
    </row>
    <row r="4" ht="15" customHeight="1">
      <c r="A4" t="inlineStr">
        <is>
          <t>A 3563-2024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45320</v>
      </c>
      <c r="E4" s="1" t="n">
        <v>46323</v>
      </c>
      <c r="F4" t="inlineStr">
        <is>
          <t>VÄSTRA GÖTALANDS LÄN</t>
        </is>
      </c>
      <c r="G4" t="inlineStr">
        <is>
          <t>ESSUNGA</t>
        </is>
      </c>
      <c r="I4" t="n">
        <v>1.4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3</v>
      </c>
      <c r="U4" t="n">
        <v>0</v>
      </c>
      <c r="V4" s="2" t="inlineStr">
        <is>
          <t>Revlummer</t>
        </is>
      </c>
      <c r="W4">
        <f>HYPERLINK("https://klasma.github.io/Logging_1445/artfynd/A 3563-2024 artfynd.xlsx", "A 3563-2024")</f>
        <v/>
      </c>
      <c r="X4">
        <f>HYPERLINK("https://klasma.github.io/Logging_1445/kartor/A 3563-2024 karta.png", "A 3563-2024")</f>
        <v/>
      </c>
      <c r="Y4">
        <f>HYPERLINK("https://klasma.github.io/Logging_1445/kartor_geotiff/A 3563-2024 georefererad karta.tif", "A 3563-2024")</f>
        <v/>
      </c>
      <c r="AA4">
        <f>HYPERLINK("https://klasma.github.io/Logging_1445/klagomål/A 3563-2024 FSC-klagomål.docx", "A 3563-2024")</f>
        <v/>
      </c>
      <c r="AB4">
        <f>HYPERLINK("https://klasma.github.io/Logging_1445/klagomålsmail/A 3563-2024 FSC-klagomål mail.docx", "A 3563-2024")</f>
        <v/>
      </c>
      <c r="AC4">
        <f>HYPERLINK("https://klasma.github.io/Logging_1445/tillsyn/A 3563-2024 tillsynsbegäran.docx", "A 3563-2024")</f>
        <v/>
      </c>
      <c r="AD4">
        <f>HYPERLINK("https://klasma.github.io/Logging_1445/tillsynsmail/A 3563-2024 tillsynsbegäran mail.docx", "A 3563-2024")</f>
        <v/>
      </c>
    </row>
    <row r="5" ht="15" customHeight="1">
      <c r="A5" t="inlineStr">
        <is>
          <t>A 7398-2022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44606</v>
      </c>
      <c r="E5" s="1" t="n">
        <v>46323</v>
      </c>
      <c r="F5" t="inlineStr">
        <is>
          <t>VÄSTRA GÖTALANDS LÄN</t>
        </is>
      </c>
      <c r="G5" t="inlineStr">
        <is>
          <t>ESSUNGA</t>
        </is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61593-2021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44501</v>
      </c>
      <c r="E6" s="1" t="n">
        <v>46323</v>
      </c>
      <c r="F6" t="inlineStr">
        <is>
          <t>VÄSTRA GÖTALANDS LÄN</t>
        </is>
      </c>
      <c r="G6" t="inlineStr">
        <is>
          <t>ESSUNGA</t>
        </is>
      </c>
      <c r="I6" t="n">
        <v>1.3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12631-2022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44641</v>
      </c>
      <c r="E7" s="1" t="n">
        <v>46323</v>
      </c>
      <c r="F7" t="inlineStr">
        <is>
          <t>VÄSTRA GÖTALANDS LÄN</t>
        </is>
      </c>
      <c r="G7" t="inlineStr">
        <is>
          <t>ESSUNGA</t>
        </is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62536-2021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44503</v>
      </c>
      <c r="E8" s="1" t="n">
        <v>46323</v>
      </c>
      <c r="F8" t="inlineStr">
        <is>
          <t>VÄSTRA GÖTALANDS LÄN</t>
        </is>
      </c>
      <c r="G8" t="inlineStr">
        <is>
          <t>ESSUNGA</t>
        </is>
      </c>
      <c r="I8" t="n">
        <v>5.1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62503-2021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44503</v>
      </c>
      <c r="E9" s="1" t="n">
        <v>46323</v>
      </c>
      <c r="F9" t="inlineStr">
        <is>
          <t>VÄSTRA GÖTALANDS LÄN</t>
        </is>
      </c>
      <c r="G9" t="inlineStr">
        <is>
          <t>ESSUNGA</t>
        </is>
      </c>
      <c r="I9" t="n">
        <v>3.3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18394-2022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44686</v>
      </c>
      <c r="E10" s="1" t="n">
        <v>46323</v>
      </c>
      <c r="F10" t="inlineStr">
        <is>
          <t>VÄSTRA GÖTALANDS LÄN</t>
        </is>
      </c>
      <c r="G10" t="inlineStr">
        <is>
          <t>ESSUNGA</t>
        </is>
      </c>
      <c r="I10" t="n">
        <v>9.699999999999999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18499-2022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44686</v>
      </c>
      <c r="E11" s="1" t="n">
        <v>46323</v>
      </c>
      <c r="F11" t="inlineStr">
        <is>
          <t>VÄSTRA GÖTALANDS LÄN</t>
        </is>
      </c>
      <c r="G11" t="inlineStr">
        <is>
          <t>ESSUNGA</t>
        </is>
      </c>
      <c r="H11" t="inlineStr">
        <is>
          <t>Allmännings- och besparingsskogar</t>
        </is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62710-2021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44502</v>
      </c>
      <c r="E12" s="1" t="n">
        <v>46323</v>
      </c>
      <c r="F12" t="inlineStr">
        <is>
          <t>VÄSTRA GÖTALANDS LÄN</t>
        </is>
      </c>
      <c r="G12" t="inlineStr">
        <is>
          <t>ESSUNGA</t>
        </is>
      </c>
      <c r="I12" t="n">
        <v>1.3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3320-2024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45317</v>
      </c>
      <c r="E13" s="1" t="n">
        <v>46323</v>
      </c>
      <c r="F13" t="inlineStr">
        <is>
          <t>VÄSTRA GÖTALANDS LÄN</t>
        </is>
      </c>
      <c r="G13" t="inlineStr">
        <is>
          <t>ESSUNGA</t>
        </is>
      </c>
      <c r="H13" t="inlineStr">
        <is>
          <t>Kyrkan</t>
        </is>
      </c>
      <c r="I13" t="n">
        <v>1.3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18510-2022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44686</v>
      </c>
      <c r="E14" s="1" t="n">
        <v>46323</v>
      </c>
      <c r="F14" t="inlineStr">
        <is>
          <t>VÄSTRA GÖTALANDS LÄN</t>
        </is>
      </c>
      <c r="G14" t="inlineStr">
        <is>
          <t>ESSUNGA</t>
        </is>
      </c>
      <c r="H14" t="inlineStr">
        <is>
          <t>Allmännings- och besparingsskogar</t>
        </is>
      </c>
      <c r="I14" t="n">
        <v>2.3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9375-2025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45715</v>
      </c>
      <c r="E15" s="1" t="n">
        <v>46323</v>
      </c>
      <c r="F15" t="inlineStr">
        <is>
          <t>VÄSTRA GÖTALANDS LÄN</t>
        </is>
      </c>
      <c r="G15" t="inlineStr">
        <is>
          <t>ESSUNGA</t>
        </is>
      </c>
      <c r="H15" t="inlineStr">
        <is>
          <t>Kyrkan</t>
        </is>
      </c>
      <c r="I15" t="n">
        <v>2.4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20555-2022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44700</v>
      </c>
      <c r="E16" s="1" t="n">
        <v>46323</v>
      </c>
      <c r="F16" t="inlineStr">
        <is>
          <t>VÄSTRA GÖTALANDS LÄN</t>
        </is>
      </c>
      <c r="G16" t="inlineStr">
        <is>
          <t>ESSUNGA</t>
        </is>
      </c>
      <c r="I16" t="n">
        <v>0.9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10889-2023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44991</v>
      </c>
      <c r="E17" s="1" t="n">
        <v>46323</v>
      </c>
      <c r="F17" t="inlineStr">
        <is>
          <t>VÄSTRA GÖTALANDS LÄN</t>
        </is>
      </c>
      <c r="G17" t="inlineStr">
        <is>
          <t>ESSUNGA</t>
        </is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15552-2024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45401</v>
      </c>
      <c r="E18" s="1" t="n">
        <v>46323</v>
      </c>
      <c r="F18" t="inlineStr">
        <is>
          <t>VÄSTRA GÖTALANDS LÄN</t>
        </is>
      </c>
      <c r="G18" t="inlineStr">
        <is>
          <t>ESSUNGA</t>
        </is>
      </c>
      <c r="I18" t="n">
        <v>1.2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60768-2024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45644</v>
      </c>
      <c r="E19" s="1" t="n">
        <v>46323</v>
      </c>
      <c r="F19" t="inlineStr">
        <is>
          <t>VÄSTRA GÖTALANDS LÄN</t>
        </is>
      </c>
      <c r="G19" t="inlineStr">
        <is>
          <t>ESSUNGA</t>
        </is>
      </c>
      <c r="I19" t="n">
        <v>1.5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38794-2025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45887</v>
      </c>
      <c r="E20" s="1" t="n">
        <v>46323</v>
      </c>
      <c r="F20" t="inlineStr">
        <is>
          <t>VÄSTRA GÖTALANDS LÄN</t>
        </is>
      </c>
      <c r="G20" t="inlineStr">
        <is>
          <t>ESSUNGA</t>
        </is>
      </c>
      <c r="I20" t="n">
        <v>0.7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3317-2024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45317</v>
      </c>
      <c r="E21" s="1" t="n">
        <v>46323</v>
      </c>
      <c r="F21" t="inlineStr">
        <is>
          <t>VÄSTRA GÖTALANDS LÄN</t>
        </is>
      </c>
      <c r="G21" t="inlineStr">
        <is>
          <t>ESSUNGA</t>
        </is>
      </c>
      <c r="H21" t="inlineStr">
        <is>
          <t>Kyrkan</t>
        </is>
      </c>
      <c r="I21" t="n">
        <v>10.2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36603-2022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44804</v>
      </c>
      <c r="E22" s="1" t="n">
        <v>46323</v>
      </c>
      <c r="F22" t="inlineStr">
        <is>
          <t>VÄSTRA GÖTALANDS LÄN</t>
        </is>
      </c>
      <c r="G22" t="inlineStr">
        <is>
          <t>ESSUNGA</t>
        </is>
      </c>
      <c r="I22" t="n">
        <v>0.9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41022-2025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45898</v>
      </c>
      <c r="E23" s="1" t="n">
        <v>46323</v>
      </c>
      <c r="F23" t="inlineStr">
        <is>
          <t>VÄSTRA GÖTALANDS LÄN</t>
        </is>
      </c>
      <c r="G23" t="inlineStr">
        <is>
          <t>ESSUNGA</t>
        </is>
      </c>
      <c r="I23" t="n">
        <v>1.5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22279-2024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45446</v>
      </c>
      <c r="E24" s="1" t="n">
        <v>46323</v>
      </c>
      <c r="F24" t="inlineStr">
        <is>
          <t>VÄSTRA GÖTALANDS LÄN</t>
        </is>
      </c>
      <c r="G24" t="inlineStr">
        <is>
          <t>ESSUNGA</t>
        </is>
      </c>
      <c r="H24" t="inlineStr">
        <is>
          <t>Allmännings- och besparingsskogar</t>
        </is>
      </c>
      <c r="I24" t="n">
        <v>3.9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45223-2025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45919</v>
      </c>
      <c r="E25" s="1" t="n">
        <v>46323</v>
      </c>
      <c r="F25" t="inlineStr">
        <is>
          <t>VÄSTRA GÖTALANDS LÄN</t>
        </is>
      </c>
      <c r="G25" t="inlineStr">
        <is>
          <t>ESSUNGA</t>
        </is>
      </c>
      <c r="I25" t="n">
        <v>0.9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34702-2022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44795</v>
      </c>
      <c r="E26" s="1" t="n">
        <v>46323</v>
      </c>
      <c r="F26" t="inlineStr">
        <is>
          <t>VÄSTRA GÖTALANDS LÄN</t>
        </is>
      </c>
      <c r="G26" t="inlineStr">
        <is>
          <t>ESSUNGA</t>
        </is>
      </c>
      <c r="I26" t="n">
        <v>0.8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37774-2024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45542</v>
      </c>
      <c r="E27" s="1" t="n">
        <v>46323</v>
      </c>
      <c r="F27" t="inlineStr">
        <is>
          <t>VÄSTRA GÖTALANDS LÄN</t>
        </is>
      </c>
      <c r="G27" t="inlineStr">
        <is>
          <t>ESSUNGA</t>
        </is>
      </c>
      <c r="I27" t="n">
        <v>1.7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64846-2023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45282</v>
      </c>
      <c r="E28" s="1" t="n">
        <v>46323</v>
      </c>
      <c r="F28" t="inlineStr">
        <is>
          <t>VÄSTRA GÖTALANDS LÄN</t>
        </is>
      </c>
      <c r="G28" t="inlineStr">
        <is>
          <t>ESSUNGA</t>
        </is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49693-2025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45939</v>
      </c>
      <c r="E29" s="1" t="n">
        <v>46323</v>
      </c>
      <c r="F29" t="inlineStr">
        <is>
          <t>VÄSTRA GÖTALANDS LÄN</t>
        </is>
      </c>
      <c r="G29" t="inlineStr">
        <is>
          <t>ESSUNGA</t>
        </is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62122-2024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45656</v>
      </c>
      <c r="E30" s="1" t="n">
        <v>46323</v>
      </c>
      <c r="F30" t="inlineStr">
        <is>
          <t>VÄSTRA GÖTALANDS LÄN</t>
        </is>
      </c>
      <c r="G30" t="inlineStr">
        <is>
          <t>ESSUNGA</t>
        </is>
      </c>
      <c r="I30" t="n">
        <v>6.5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60138-2022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44909</v>
      </c>
      <c r="E31" s="1" t="n">
        <v>46323</v>
      </c>
      <c r="F31" t="inlineStr">
        <is>
          <t>VÄSTRA GÖTALANDS LÄN</t>
        </is>
      </c>
      <c r="G31" t="inlineStr">
        <is>
          <t>ESSUNGA</t>
        </is>
      </c>
      <c r="I31" t="n">
        <v>0.8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62373-2021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44503</v>
      </c>
      <c r="E32" s="1" t="n">
        <v>46323</v>
      </c>
      <c r="F32" t="inlineStr">
        <is>
          <t>VÄSTRA GÖTALANDS LÄN</t>
        </is>
      </c>
      <c r="G32" t="inlineStr">
        <is>
          <t>ESSUNGA</t>
        </is>
      </c>
      <c r="I32" t="n">
        <v>0.7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24686-2022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44727</v>
      </c>
      <c r="E33" s="1" t="n">
        <v>46323</v>
      </c>
      <c r="F33" t="inlineStr">
        <is>
          <t>VÄSTRA GÖTALANDS LÄN</t>
        </is>
      </c>
      <c r="G33" t="inlineStr">
        <is>
          <t>ESSUNGA</t>
        </is>
      </c>
      <c r="I33" t="n">
        <v>8.6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51380-2025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45950</v>
      </c>
      <c r="E34" s="1" t="n">
        <v>46323</v>
      </c>
      <c r="F34" t="inlineStr">
        <is>
          <t>VÄSTRA GÖTALANDS LÄN</t>
        </is>
      </c>
      <c r="G34" t="inlineStr">
        <is>
          <t>ESSUNGA</t>
        </is>
      </c>
      <c r="I34" t="n">
        <v>4.8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33817-2023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45133</v>
      </c>
      <c r="E35" s="1" t="n">
        <v>46323</v>
      </c>
      <c r="F35" t="inlineStr">
        <is>
          <t>VÄSTRA GÖTALANDS LÄN</t>
        </is>
      </c>
      <c r="G35" t="inlineStr">
        <is>
          <t>ESSUNGA</t>
        </is>
      </c>
      <c r="I35" t="n">
        <v>0.8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57160-2025</t>
        </is>
      </c>
      <c r="B36" t="inlineStr">
        <is>
          <t>avverkningsanmälan</t>
        </is>
      </c>
      <c r="C36" t="inlineStr">
        <is>
          <t>Avverkning för att bevara och utveckla /försöksver</t>
        </is>
      </c>
      <c r="D36" s="1" t="n">
        <v>45979</v>
      </c>
      <c r="E36" s="1" t="n">
        <v>46323</v>
      </c>
      <c r="F36" t="inlineStr">
        <is>
          <t>VÄSTRA GÖTALANDS LÄN</t>
        </is>
      </c>
      <c r="G36" t="inlineStr">
        <is>
          <t>ESSUNGA</t>
        </is>
      </c>
      <c r="I36" t="n">
        <v>1.1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32914-2022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44784</v>
      </c>
      <c r="E37" s="1" t="n">
        <v>46323</v>
      </c>
      <c r="F37" t="inlineStr">
        <is>
          <t>VÄSTRA GÖTALANDS LÄN</t>
        </is>
      </c>
      <c r="G37" t="inlineStr">
        <is>
          <t>ESSUNGA</t>
        </is>
      </c>
      <c r="I37" t="n">
        <v>3.4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57161-2025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45979</v>
      </c>
      <c r="E38" s="1" t="n">
        <v>46323</v>
      </c>
      <c r="F38" t="inlineStr">
        <is>
          <t>VÄSTRA GÖTALANDS LÄN</t>
        </is>
      </c>
      <c r="G38" t="inlineStr">
        <is>
          <t>ESSUNGA</t>
        </is>
      </c>
      <c r="I38" t="n">
        <v>0.6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46575-2025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45926</v>
      </c>
      <c r="E39" s="1" t="n">
        <v>46323</v>
      </c>
      <c r="F39" t="inlineStr">
        <is>
          <t>VÄSTRA GÖTALANDS LÄN</t>
        </is>
      </c>
      <c r="G39" t="inlineStr">
        <is>
          <t>ESSUNGA</t>
        </is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62737-2025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46008</v>
      </c>
      <c r="E40" s="1" t="n">
        <v>46323</v>
      </c>
      <c r="F40" t="inlineStr">
        <is>
          <t>VÄSTRA GÖTALANDS LÄN</t>
        </is>
      </c>
      <c r="G40" t="inlineStr">
        <is>
          <t>ESSUNGA</t>
        </is>
      </c>
      <c r="I40" t="n">
        <v>2.2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20332-2023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45056</v>
      </c>
      <c r="E41" s="1" t="n">
        <v>46323</v>
      </c>
      <c r="F41" t="inlineStr">
        <is>
          <t>VÄSTRA GÖTALANDS LÄN</t>
        </is>
      </c>
      <c r="G41" t="inlineStr">
        <is>
          <t>ESSUNGA</t>
        </is>
      </c>
      <c r="I41" t="n">
        <v>1.1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13876-2023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45007</v>
      </c>
      <c r="E42" s="1" t="n">
        <v>46323</v>
      </c>
      <c r="F42" t="inlineStr">
        <is>
          <t>VÄSTRA GÖTALANDS LÄN</t>
        </is>
      </c>
      <c r="G42" t="inlineStr">
        <is>
          <t>ESSUNGA</t>
        </is>
      </c>
      <c r="I42" t="n">
        <v>0.7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10161-2025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45719</v>
      </c>
      <c r="E43" s="1" t="n">
        <v>46323</v>
      </c>
      <c r="F43" t="inlineStr">
        <is>
          <t>VÄSTRA GÖTALANDS LÄN</t>
        </is>
      </c>
      <c r="G43" t="inlineStr">
        <is>
          <t>ESSUNGA</t>
        </is>
      </c>
      <c r="H43" t="inlineStr">
        <is>
          <t>Kyrkan</t>
        </is>
      </c>
      <c r="I43" t="n">
        <v>2.4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4954-2024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45329</v>
      </c>
      <c r="E44" s="1" t="n">
        <v>46323</v>
      </c>
      <c r="F44" t="inlineStr">
        <is>
          <t>VÄSTRA GÖTALANDS LÄN</t>
        </is>
      </c>
      <c r="G44" t="inlineStr">
        <is>
          <t>ESSUNGA</t>
        </is>
      </c>
      <c r="I44" t="n">
        <v>0.7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10164-2025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45719</v>
      </c>
      <c r="E45" s="1" t="n">
        <v>46323</v>
      </c>
      <c r="F45" t="inlineStr">
        <is>
          <t>VÄSTRA GÖTALANDS LÄN</t>
        </is>
      </c>
      <c r="G45" t="inlineStr">
        <is>
          <t>ESSUNGA</t>
        </is>
      </c>
      <c r="H45" t="inlineStr">
        <is>
          <t>Kyrkan</t>
        </is>
      </c>
      <c r="I45" t="n">
        <v>0.7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9374-2025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45715</v>
      </c>
      <c r="E46" s="1" t="n">
        <v>46323</v>
      </c>
      <c r="F46" t="inlineStr">
        <is>
          <t>VÄSTRA GÖTALANDS LÄN</t>
        </is>
      </c>
      <c r="G46" t="inlineStr">
        <is>
          <t>ESSUNGA</t>
        </is>
      </c>
      <c r="H46" t="inlineStr">
        <is>
          <t>Kyrkan</t>
        </is>
      </c>
      <c r="I46" t="n">
        <v>0.7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16248-2022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44670</v>
      </c>
      <c r="E47" s="1" t="n">
        <v>46323</v>
      </c>
      <c r="F47" t="inlineStr">
        <is>
          <t>VÄSTRA GÖTALANDS LÄN</t>
        </is>
      </c>
      <c r="G47" t="inlineStr">
        <is>
          <t>ESSUNGA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30337-2026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46209</v>
      </c>
      <c r="E48" s="1" t="n">
        <v>46323</v>
      </c>
      <c r="F48" t="inlineStr">
        <is>
          <t>VÄSTRA GÖTALANDS LÄN</t>
        </is>
      </c>
      <c r="G48" t="inlineStr">
        <is>
          <t>ESSUNGA</t>
        </is>
      </c>
      <c r="I48" t="n">
        <v>5.2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8177-2024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45351</v>
      </c>
      <c r="E49" s="1" t="n">
        <v>46323</v>
      </c>
      <c r="F49" t="inlineStr">
        <is>
          <t>VÄSTRA GÖTALANDS LÄN</t>
        </is>
      </c>
      <c r="G49" t="inlineStr">
        <is>
          <t>ESSUNGA</t>
        </is>
      </c>
      <c r="I49" t="n">
        <v>1.2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8672-2026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46066</v>
      </c>
      <c r="E50" s="1" t="n">
        <v>46323</v>
      </c>
      <c r="F50" t="inlineStr">
        <is>
          <t>VÄSTRA GÖTALANDS LÄN</t>
        </is>
      </c>
      <c r="G50" t="inlineStr">
        <is>
          <t>ESSUNGA</t>
        </is>
      </c>
      <c r="I50" t="n">
        <v>7.3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32414-2026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46238</v>
      </c>
      <c r="E51" s="1" t="n">
        <v>46323</v>
      </c>
      <c r="F51" t="inlineStr">
        <is>
          <t>VÄSTRA GÖTALANDS LÄN</t>
        </is>
      </c>
      <c r="G51" t="inlineStr">
        <is>
          <t>ESSUNGA</t>
        </is>
      </c>
      <c r="I51" t="n">
        <v>2.4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9531-2026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46071</v>
      </c>
      <c r="E52" s="1" t="n">
        <v>46323</v>
      </c>
      <c r="F52" t="inlineStr">
        <is>
          <t>VÄSTRA GÖTALANDS LÄN</t>
        </is>
      </c>
      <c r="G52" t="inlineStr">
        <is>
          <t>ESSUNGA</t>
        </is>
      </c>
      <c r="I52" t="n">
        <v>1.4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38806-2026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46286</v>
      </c>
      <c r="E53" s="1" t="n">
        <v>46323</v>
      </c>
      <c r="F53" t="inlineStr">
        <is>
          <t>VÄSTRA GÖTALANDS LÄN</t>
        </is>
      </c>
      <c r="G53" t="inlineStr">
        <is>
          <t>ESSUNGA</t>
        </is>
      </c>
      <c r="I53" t="n">
        <v>2.8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54555-2023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45233</v>
      </c>
      <c r="E54" s="1" t="n">
        <v>46323</v>
      </c>
      <c r="F54" t="inlineStr">
        <is>
          <t>VÄSTRA GÖTALANDS LÄN</t>
        </is>
      </c>
      <c r="G54" t="inlineStr">
        <is>
          <t>ESSUNGA</t>
        </is>
      </c>
      <c r="I54" t="n">
        <v>1.4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44992-2023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45190</v>
      </c>
      <c r="E55" s="1" t="n">
        <v>46323</v>
      </c>
      <c r="F55" t="inlineStr">
        <is>
          <t>VÄSTRA GÖTALANDS LÄN</t>
        </is>
      </c>
      <c r="G55" t="inlineStr">
        <is>
          <t>ESSUNGA</t>
        </is>
      </c>
      <c r="I55" t="n">
        <v>0.7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892-2023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44931</v>
      </c>
      <c r="E56" s="1" t="n">
        <v>46323</v>
      </c>
      <c r="F56" t="inlineStr">
        <is>
          <t>VÄSTRA GÖTALANDS LÄN</t>
        </is>
      </c>
      <c r="G56" t="inlineStr">
        <is>
          <t>ESSUNGA</t>
        </is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12203-2026</t>
        </is>
      </c>
      <c r="B57" t="inlineStr">
        <is>
          <t>avverkningsanmälan</t>
        </is>
      </c>
      <c r="C57" t="inlineStr">
        <is>
          <t>Avverkning för att bevara och utveckla /försöksver</t>
        </is>
      </c>
      <c r="D57" s="1" t="n">
        <v>46087</v>
      </c>
      <c r="E57" s="1" t="n">
        <v>46323</v>
      </c>
      <c r="F57" t="inlineStr">
        <is>
          <t>VÄSTRA GÖTALANDS LÄN</t>
        </is>
      </c>
      <c r="G57" t="inlineStr">
        <is>
          <t>ESSUNGA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13737-2026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46097</v>
      </c>
      <c r="E58" s="1" t="n">
        <v>46323</v>
      </c>
      <c r="F58" t="inlineStr">
        <is>
          <t>VÄSTRA GÖTALANDS LÄN</t>
        </is>
      </c>
      <c r="G58" t="inlineStr">
        <is>
          <t>ESSUNGA</t>
        </is>
      </c>
      <c r="I58" t="n">
        <v>0.9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15661-2026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46106</v>
      </c>
      <c r="E59" s="1" t="n">
        <v>46323</v>
      </c>
      <c r="F59" t="inlineStr">
        <is>
          <t>VÄSTRA GÖTALANDS LÄN</t>
        </is>
      </c>
      <c r="G59" t="inlineStr">
        <is>
          <t>ESSUNGA</t>
        </is>
      </c>
      <c r="I59" t="n">
        <v>1.4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3867-2024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45322</v>
      </c>
      <c r="E60" s="1" t="n">
        <v>46323</v>
      </c>
      <c r="F60" t="inlineStr">
        <is>
          <t>VÄSTRA GÖTALANDS LÄN</t>
        </is>
      </c>
      <c r="G60" t="inlineStr">
        <is>
          <t>ESSUNGA</t>
        </is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3868-2024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45322</v>
      </c>
      <c r="E61" s="1" t="n">
        <v>46323</v>
      </c>
      <c r="F61" t="inlineStr">
        <is>
          <t>VÄSTRA GÖTALANDS LÄN</t>
        </is>
      </c>
      <c r="G61" t="inlineStr">
        <is>
          <t>ESSUNGA</t>
        </is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10690-2025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45722</v>
      </c>
      <c r="E62" s="1" t="n">
        <v>46323</v>
      </c>
      <c r="F62" t="inlineStr">
        <is>
          <t>VÄSTRA GÖTALANDS LÄN</t>
        </is>
      </c>
      <c r="G62" t="inlineStr">
        <is>
          <t>ESSUNGA</t>
        </is>
      </c>
      <c r="I62" t="n">
        <v>1.3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15306-2024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45400</v>
      </c>
      <c r="E63" s="1" t="n">
        <v>46323</v>
      </c>
      <c r="F63" t="inlineStr">
        <is>
          <t>VÄSTRA GÖTALANDS LÄN</t>
        </is>
      </c>
      <c r="G63" t="inlineStr">
        <is>
          <t>ESSUNGA</t>
        </is>
      </c>
      <c r="I63" t="n">
        <v>1.3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17412-2026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46120</v>
      </c>
      <c r="E64" s="1" t="n">
        <v>46323</v>
      </c>
      <c r="F64" t="inlineStr">
        <is>
          <t>VÄSTRA GÖTALANDS LÄN</t>
        </is>
      </c>
      <c r="G64" t="inlineStr">
        <is>
          <t>ESSUNGA</t>
        </is>
      </c>
      <c r="I64" t="n">
        <v>3.3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17386-2026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46119</v>
      </c>
      <c r="E65" s="1" t="n">
        <v>46323</v>
      </c>
      <c r="F65" t="inlineStr">
        <is>
          <t>VÄSTRA GÖTALANDS LÄN</t>
        </is>
      </c>
      <c r="G65" t="inlineStr">
        <is>
          <t>ESSUNGA</t>
        </is>
      </c>
      <c r="I65" t="n">
        <v>3.6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34360-2026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46254</v>
      </c>
      <c r="E66" s="1" t="n">
        <v>46323</v>
      </c>
      <c r="F66" t="inlineStr">
        <is>
          <t>VÄSTRA GÖTALANDS LÄN</t>
        </is>
      </c>
      <c r="G66" t="inlineStr">
        <is>
          <t>ESSUNGA</t>
        </is>
      </c>
      <c r="I66" t="n">
        <v>3.9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12006-2024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45377</v>
      </c>
      <c r="E67" s="1" t="n">
        <v>46323</v>
      </c>
      <c r="F67" t="inlineStr">
        <is>
          <t>VÄSTRA GÖTALANDS LÄN</t>
        </is>
      </c>
      <c r="G67" t="inlineStr">
        <is>
          <t>ESSUNGA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17072-2022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44677</v>
      </c>
      <c r="E68" s="1" t="n">
        <v>46323</v>
      </c>
      <c r="F68" t="inlineStr">
        <is>
          <t>VÄSTRA GÖTALANDS LÄN</t>
        </is>
      </c>
      <c r="G68" t="inlineStr">
        <is>
          <t>ESSUNGA</t>
        </is>
      </c>
      <c r="H68" t="inlineStr">
        <is>
          <t>Allmännings- och besparingsskogar</t>
        </is>
      </c>
      <c r="I68" t="n">
        <v>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64639-2023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45281</v>
      </c>
      <c r="E69" s="1" t="n">
        <v>46323</v>
      </c>
      <c r="F69" t="inlineStr">
        <is>
          <t>VÄSTRA GÖTALANDS LÄN</t>
        </is>
      </c>
      <c r="G69" t="inlineStr">
        <is>
          <t>ESSUNGA</t>
        </is>
      </c>
      <c r="I69" t="n">
        <v>1.7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35134-2026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46260</v>
      </c>
      <c r="E70" s="1" t="n">
        <v>46323</v>
      </c>
      <c r="F70" t="inlineStr">
        <is>
          <t>VÄSTRA GÖTALANDS LÄN</t>
        </is>
      </c>
      <c r="G70" t="inlineStr">
        <is>
          <t>ESSUNGA</t>
        </is>
      </c>
      <c r="I70" t="n">
        <v>1.8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62360-2021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44503</v>
      </c>
      <c r="E71" s="1" t="n">
        <v>46323</v>
      </c>
      <c r="F71" t="inlineStr">
        <is>
          <t>VÄSTRA GÖTALANDS LÄN</t>
        </is>
      </c>
      <c r="G71" t="inlineStr">
        <is>
          <t>ESSUNGA</t>
        </is>
      </c>
      <c r="I71" t="n">
        <v>0.7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42541-2026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46308</v>
      </c>
      <c r="E72" s="1" t="n">
        <v>46323</v>
      </c>
      <c r="F72" t="inlineStr">
        <is>
          <t>VÄSTRA GÖTALANDS LÄN</t>
        </is>
      </c>
      <c r="G72" t="inlineStr">
        <is>
          <t>ESSUNGA</t>
        </is>
      </c>
      <c r="I72" t="n">
        <v>2.3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33510-2023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45131</v>
      </c>
      <c r="E73" s="1" t="n">
        <v>46323</v>
      </c>
      <c r="F73" t="inlineStr">
        <is>
          <t>VÄSTRA GÖTALANDS LÄN</t>
        </is>
      </c>
      <c r="G73" t="inlineStr">
        <is>
          <t>ESSUNGA</t>
        </is>
      </c>
      <c r="I73" t="n">
        <v>1.9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38800-2025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45887</v>
      </c>
      <c r="E74" s="1" t="n">
        <v>46323</v>
      </c>
      <c r="F74" t="inlineStr">
        <is>
          <t>VÄSTRA GÖTALANDS LÄN</t>
        </is>
      </c>
      <c r="G74" t="inlineStr">
        <is>
          <t>ESSUNGA</t>
        </is>
      </c>
      <c r="I74" t="n">
        <v>3.4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38243-2024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45545</v>
      </c>
      <c r="E75" s="1" t="n">
        <v>46323</v>
      </c>
      <c r="F75" t="inlineStr">
        <is>
          <t>VÄSTRA GÖTALANDS LÄN</t>
        </is>
      </c>
      <c r="G75" t="inlineStr">
        <is>
          <t>ESSUNGA</t>
        </is>
      </c>
      <c r="I75" t="n">
        <v>1.6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35833-2026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46265</v>
      </c>
      <c r="E76" s="1" t="n">
        <v>46323</v>
      </c>
      <c r="F76" t="inlineStr">
        <is>
          <t>VÄSTRA GÖTALANDS LÄN</t>
        </is>
      </c>
      <c r="G76" t="inlineStr">
        <is>
          <t>ESSUNGA</t>
        </is>
      </c>
      <c r="I76" t="n">
        <v>1.6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36352-2026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46268</v>
      </c>
      <c r="E77" s="1" t="n">
        <v>46323</v>
      </c>
      <c r="F77" t="inlineStr">
        <is>
          <t>VÄSTRA GÖTALANDS LÄN</t>
        </is>
      </c>
      <c r="G77" t="inlineStr">
        <is>
          <t>ESSUNGA</t>
        </is>
      </c>
      <c r="I77" t="n">
        <v>3.1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16145-2025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45750</v>
      </c>
      <c r="E78" s="1" t="n">
        <v>46323</v>
      </c>
      <c r="F78" t="inlineStr">
        <is>
          <t>VÄSTRA GÖTALANDS LÄN</t>
        </is>
      </c>
      <c r="G78" t="inlineStr">
        <is>
          <t>ESSUNGA</t>
        </is>
      </c>
      <c r="I78" t="n">
        <v>2.8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38715-2022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44815</v>
      </c>
      <c r="E79" s="1" t="n">
        <v>46323</v>
      </c>
      <c r="F79" t="inlineStr">
        <is>
          <t>VÄSTRA GÖTALANDS LÄN</t>
        </is>
      </c>
      <c r="G79" t="inlineStr">
        <is>
          <t>ESSUNGA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21294-2026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46147</v>
      </c>
      <c r="E80" s="1" t="n">
        <v>46323</v>
      </c>
      <c r="F80" t="inlineStr">
        <is>
          <t>VÄSTRA GÖTALANDS LÄN</t>
        </is>
      </c>
      <c r="G80" t="inlineStr">
        <is>
          <t>ESSUNGA</t>
        </is>
      </c>
      <c r="I80" t="n">
        <v>3.1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32176-2025</t>
        </is>
      </c>
      <c r="B81" t="inlineStr">
        <is>
          <t>avverkningsanmälan</t>
        </is>
      </c>
      <c r="C81" t="inlineStr">
        <is>
          <t>Avverkning för annat ändamål</t>
        </is>
      </c>
      <c r="D81" s="1" t="n">
        <v>45835</v>
      </c>
      <c r="E81" s="1" t="n">
        <v>46323</v>
      </c>
      <c r="F81" t="inlineStr">
        <is>
          <t>VÄSTRA GÖTALANDS LÄN</t>
        </is>
      </c>
      <c r="G81" t="inlineStr">
        <is>
          <t>ESSUNGA</t>
        </is>
      </c>
      <c r="I81" t="n">
        <v>2.3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44170-2026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46318</v>
      </c>
      <c r="E82" s="1" t="n">
        <v>46323</v>
      </c>
      <c r="F82" t="inlineStr">
        <is>
          <t>VÄSTRA GÖTALANDS LÄN</t>
        </is>
      </c>
      <c r="G82" t="inlineStr">
        <is>
          <t>ESSUNGA</t>
        </is>
      </c>
      <c r="I82" t="n">
        <v>1.3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32615-2025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45838</v>
      </c>
      <c r="E83" s="1" t="n">
        <v>46323</v>
      </c>
      <c r="F83" t="inlineStr">
        <is>
          <t>VÄSTRA GÖTALANDS LÄN</t>
        </is>
      </c>
      <c r="G83" t="inlineStr">
        <is>
          <t>ESSUNGA</t>
        </is>
      </c>
      <c r="I83" t="n">
        <v>2.9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50364-2024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45600</v>
      </c>
      <c r="E84" s="1" t="n">
        <v>46323</v>
      </c>
      <c r="F84" t="inlineStr">
        <is>
          <t>VÄSTRA GÖTALANDS LÄN</t>
        </is>
      </c>
      <c r="G84" t="inlineStr">
        <is>
          <t>ESSUNGA</t>
        </is>
      </c>
      <c r="I84" t="n">
        <v>1.2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24876-2026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46174</v>
      </c>
      <c r="E85" s="1" t="n">
        <v>46323</v>
      </c>
      <c r="F85" t="inlineStr">
        <is>
          <t>VÄSTRA GÖTALANDS LÄN</t>
        </is>
      </c>
      <c r="G85" t="inlineStr">
        <is>
          <t>ESSUNGA</t>
        </is>
      </c>
      <c r="I85" t="n">
        <v>0.6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>
      <c r="A86" t="inlineStr">
        <is>
          <t>A 28308-2026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46196</v>
      </c>
      <c r="E86" s="1" t="n">
        <v>46323</v>
      </c>
      <c r="F86" t="inlineStr">
        <is>
          <t>VÄSTRA GÖTALANDS LÄN</t>
        </is>
      </c>
      <c r="G86" t="inlineStr">
        <is>
          <t>ESSUNGA</t>
        </is>
      </c>
      <c r="I86" t="n">
        <v>3.7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2026-10-28T03:15:08Z</dcterms:created>
  <dcterms:modified xmlns:dcterms="http://purl.org/dc/terms/" xmlns:xsi="http://www.w3.org/2001/XMLSchema-instance" xsi:type="dcterms:W3CDTF">2026-10-28T03:15:08Z</dcterms:modified>
</cp:coreProperties>
</file>