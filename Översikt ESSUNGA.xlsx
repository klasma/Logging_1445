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46220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s="2" t="inlineStr">
        <is>
          <t>Revlummer</t>
        </is>
      </c>
      <c r="V2">
        <f>HYPERLINK("https://klasma.github.io/Logging_1445/artfynd/A 3563-2024 artfynd.xlsx", "A 3563-2024")</f>
        <v/>
      </c>
      <c r="W2">
        <f>HYPERLINK("https://klasma.github.io/Logging_1445/kartor/A 3563-2024 karta.png", "A 3563-2024")</f>
        <v/>
      </c>
      <c r="Y2">
        <f>HYPERLINK("https://klasma.github.io/Logging_1445/klagomål/A 3563-2024 FSC-klagomål.docx", "A 3563-2024")</f>
        <v/>
      </c>
      <c r="Z2">
        <f>HYPERLINK("https://klasma.github.io/Logging_1445/klagomålsmail/A 3563-2024 FSC-klagomål mail.docx", "A 3563-2024")</f>
        <v/>
      </c>
      <c r="AA2">
        <f>HYPERLINK("https://klasma.github.io/Logging_1445/tillsyn/A 3563-2024 tillsynsbegäran.docx", "A 3563-2024")</f>
        <v/>
      </c>
      <c r="AB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46220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Blomkålssvamp</t>
        </is>
      </c>
      <c r="V3">
        <f>HYPERLINK("https://klasma.github.io/Logging_1445/artfynd/A 56429-2022 artfynd.xlsx", "A 56429-2022")</f>
        <v/>
      </c>
      <c r="W3">
        <f>HYPERLINK("https://klasma.github.io/Logging_1445/kartor/A 56429-2022 karta.png", "A 56429-2022")</f>
        <v/>
      </c>
      <c r="Y3">
        <f>HYPERLINK("https://klasma.github.io/Logging_1445/klagomål/A 56429-2022 FSC-klagomål.docx", "A 56429-2022")</f>
        <v/>
      </c>
      <c r="Z3">
        <f>HYPERLINK("https://klasma.github.io/Logging_1445/klagomålsmail/A 56429-2022 FSC-klagomål mail.docx", "A 56429-2022")</f>
        <v/>
      </c>
      <c r="AA3">
        <f>HYPERLINK("https://klasma.github.io/Logging_1445/tillsyn/A 56429-2022 tillsynsbegäran.docx", "A 56429-2022")</f>
        <v/>
      </c>
      <c r="AB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46220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37412-2021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44398</v>
      </c>
      <c r="E5" s="1" t="n">
        <v>46220</v>
      </c>
      <c r="F5" t="inlineStr">
        <is>
          <t>VÄSTRA GÖTALANDS LÄN</t>
        </is>
      </c>
      <c r="G5" t="inlineStr">
        <is>
          <t>ESSUNGA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46220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38345-2021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44406</v>
      </c>
      <c r="E7" s="1" t="n">
        <v>46220</v>
      </c>
      <c r="F7" t="inlineStr">
        <is>
          <t>VÄSTRA GÖTALANDS LÄN</t>
        </is>
      </c>
      <c r="G7" t="inlineStr">
        <is>
          <t>ESSUNGA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54448-2021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46220</v>
      </c>
      <c r="F8" t="inlineStr">
        <is>
          <t>VÄSTRA GÖTALANDS LÄN</t>
        </is>
      </c>
      <c r="G8" t="inlineStr">
        <is>
          <t>ESSUNGA</t>
        </is>
      </c>
      <c r="I8" t="n">
        <v>1.7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12631-2022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44641</v>
      </c>
      <c r="E9" s="1" t="n">
        <v>46220</v>
      </c>
      <c r="F9" t="inlineStr">
        <is>
          <t>VÄSTRA GÖTALANDS LÄN</t>
        </is>
      </c>
      <c r="G9" t="inlineStr">
        <is>
          <t>ESSUNGA</t>
        </is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62536-2021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46220</v>
      </c>
      <c r="F10" t="inlineStr">
        <is>
          <t>VÄSTRA GÖTALANDS LÄN</t>
        </is>
      </c>
      <c r="G10" t="inlineStr">
        <is>
          <t>ESSUNGA</t>
        </is>
      </c>
      <c r="I10" t="n">
        <v>5.1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54521-2021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46220</v>
      </c>
      <c r="F11" t="inlineStr">
        <is>
          <t>VÄSTRA GÖTALANDS LÄN</t>
        </is>
      </c>
      <c r="G11" t="inlineStr">
        <is>
          <t>ESSUNGA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37377-2021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44398</v>
      </c>
      <c r="E12" s="1" t="n">
        <v>46220</v>
      </c>
      <c r="F12" t="inlineStr">
        <is>
          <t>VÄSTRA GÖTALANDS LÄN</t>
        </is>
      </c>
      <c r="G12" t="inlineStr">
        <is>
          <t>ESSUNGA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62503-2021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46220</v>
      </c>
      <c r="F13" t="inlineStr">
        <is>
          <t>VÄSTRA GÖTALANDS LÄN</t>
        </is>
      </c>
      <c r="G13" t="inlineStr">
        <is>
          <t>ESSUNGA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18394-2022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46220</v>
      </c>
      <c r="F14" t="inlineStr">
        <is>
          <t>VÄSTRA GÖTALANDS LÄN</t>
        </is>
      </c>
      <c r="G14" t="inlineStr">
        <is>
          <t>ESSUNGA</t>
        </is>
      </c>
      <c r="I14" t="n">
        <v>9.699999999999999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62710-2021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44502</v>
      </c>
      <c r="E15" s="1" t="n">
        <v>46220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18510-2022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44686</v>
      </c>
      <c r="E16" s="1" t="n">
        <v>46220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24686-2022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44727</v>
      </c>
      <c r="E17" s="1" t="n">
        <v>46220</v>
      </c>
      <c r="F17" t="inlineStr">
        <is>
          <t>VÄSTRA GÖTALANDS LÄN</t>
        </is>
      </c>
      <c r="G17" t="inlineStr">
        <is>
          <t>ESSUNGA</t>
        </is>
      </c>
      <c r="I17" t="n">
        <v>8.6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32914-2022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44784</v>
      </c>
      <c r="E18" s="1" t="n">
        <v>46220</v>
      </c>
      <c r="F18" t="inlineStr">
        <is>
          <t>VÄSTRA GÖTALANDS LÄN</t>
        </is>
      </c>
      <c r="G18" t="inlineStr">
        <is>
          <t>ESSUNGA</t>
        </is>
      </c>
      <c r="I18" t="n">
        <v>3.4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3867-2024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45322</v>
      </c>
      <c r="E19" s="1" t="n">
        <v>46220</v>
      </c>
      <c r="F19" t="inlineStr">
        <is>
          <t>VÄSTRA GÖTALANDS LÄN</t>
        </is>
      </c>
      <c r="G19" t="inlineStr">
        <is>
          <t>ESSUNGA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3868-2024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45322</v>
      </c>
      <c r="E20" s="1" t="n">
        <v>46220</v>
      </c>
      <c r="F20" t="inlineStr">
        <is>
          <t>VÄSTRA GÖTALANDS LÄN</t>
        </is>
      </c>
      <c r="G20" t="inlineStr">
        <is>
          <t>ESSUNGA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62360-2021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46220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9375-2025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46220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10161-2025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45719</v>
      </c>
      <c r="E23" s="1" t="n">
        <v>46220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22279-2024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46220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Allmännings- och besparingsskogar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38794-2025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45887</v>
      </c>
      <c r="E25" s="1" t="n">
        <v>46220</v>
      </c>
      <c r="F25" t="inlineStr">
        <is>
          <t>VÄSTRA GÖTALANDS LÄN</t>
        </is>
      </c>
      <c r="G25" t="inlineStr">
        <is>
          <t>ESSUNGA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10690-2025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45722</v>
      </c>
      <c r="E26" s="1" t="n">
        <v>46220</v>
      </c>
      <c r="F26" t="inlineStr">
        <is>
          <t>VÄSTRA GÖTALANDS LÄN</t>
        </is>
      </c>
      <c r="G26" t="inlineStr">
        <is>
          <t>ESSUNGA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45377</v>
      </c>
      <c r="E27" s="1" t="n">
        <v>46220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41022-2025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46220</v>
      </c>
      <c r="F28" t="inlineStr">
        <is>
          <t>VÄSTRA GÖTALANDS LÄN</t>
        </is>
      </c>
      <c r="G28" t="inlineStr">
        <is>
          <t>ESSUNGA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46220</v>
      </c>
      <c r="F29" t="inlineStr">
        <is>
          <t>VÄSTRA GÖTALANDS LÄN</t>
        </is>
      </c>
      <c r="G29" t="inlineStr">
        <is>
          <t>ESSUNGA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32176-2025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45835</v>
      </c>
      <c r="E30" s="1" t="n">
        <v>46220</v>
      </c>
      <c r="F30" t="inlineStr">
        <is>
          <t>VÄSTRA GÖTALANDS LÄN</t>
        </is>
      </c>
      <c r="G30" t="inlineStr">
        <is>
          <t>ESSUNGA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45223-2025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45919</v>
      </c>
      <c r="E31" s="1" t="n">
        <v>46220</v>
      </c>
      <c r="F31" t="inlineStr">
        <is>
          <t>VÄSTRA GÖTALANDS LÄN</t>
        </is>
      </c>
      <c r="G31" t="inlineStr">
        <is>
          <t>ESSUNGA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64639-2023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46220</v>
      </c>
      <c r="F32" t="inlineStr">
        <is>
          <t>VÄSTRA GÖTALANDS LÄN</t>
        </is>
      </c>
      <c r="G32" t="inlineStr">
        <is>
          <t>ESSUNGA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32615-2025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46220</v>
      </c>
      <c r="F33" t="inlineStr">
        <is>
          <t>VÄSTRA GÖTALANDS LÄN</t>
        </is>
      </c>
      <c r="G33" t="inlineStr">
        <is>
          <t>ESSUNGA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3317-2024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45317</v>
      </c>
      <c r="E34" s="1" t="n">
        <v>46220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10.2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44931</v>
      </c>
      <c r="E35" s="1" t="n">
        <v>46220</v>
      </c>
      <c r="F35" t="inlineStr">
        <is>
          <t>VÄSTRA GÖTALANDS LÄN</t>
        </is>
      </c>
      <c r="G35" t="inlineStr">
        <is>
          <t>ESSUNGA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8177-2024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45351</v>
      </c>
      <c r="E36" s="1" t="n">
        <v>46220</v>
      </c>
      <c r="F36" t="inlineStr">
        <is>
          <t>VÄSTRA GÖTALANDS LÄN</t>
        </is>
      </c>
      <c r="G36" t="inlineStr">
        <is>
          <t>ESSUNGA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37774-2024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45542</v>
      </c>
      <c r="E37" s="1" t="n">
        <v>46220</v>
      </c>
      <c r="F37" t="inlineStr">
        <is>
          <t>VÄSTRA GÖTALANDS LÄN</t>
        </is>
      </c>
      <c r="G37" t="inlineStr">
        <is>
          <t>ESSUNGA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49693-2025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46220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46220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54514-2021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44473</v>
      </c>
      <c r="E40" s="1" t="n">
        <v>46220</v>
      </c>
      <c r="F40" t="inlineStr">
        <is>
          <t>VÄSTRA GÖTALANDS LÄN</t>
        </is>
      </c>
      <c r="G40" t="inlineStr">
        <is>
          <t>ESSUNGA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54555-2023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46220</v>
      </c>
      <c r="F41" t="inlineStr">
        <is>
          <t>VÄSTRA GÖTALANDS LÄN</t>
        </is>
      </c>
      <c r="G41" t="inlineStr">
        <is>
          <t>ESSUNGA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3320-2024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45317</v>
      </c>
      <c r="E42" s="1" t="n">
        <v>46220</v>
      </c>
      <c r="F42" t="inlineStr">
        <is>
          <t>VÄSTRA GÖTALANDS LÄN</t>
        </is>
      </c>
      <c r="G42" t="inlineStr">
        <is>
          <t>ESSUNGA</t>
        </is>
      </c>
      <c r="H42" t="inlineStr">
        <is>
          <t>Kyrkan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57160-2025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45979</v>
      </c>
      <c r="E43" s="1" t="n">
        <v>46220</v>
      </c>
      <c r="F43" t="inlineStr">
        <is>
          <t>VÄSTRA GÖTALANDS LÄN</t>
        </is>
      </c>
      <c r="G43" t="inlineStr">
        <is>
          <t>ESSUNGA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46220</v>
      </c>
      <c r="F44" t="inlineStr">
        <is>
          <t>VÄSTRA GÖTALANDS LÄN</t>
        </is>
      </c>
      <c r="G44" t="inlineStr">
        <is>
          <t>ESSUNGA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46220</v>
      </c>
      <c r="F45" t="inlineStr">
        <is>
          <t>VÄSTRA GÖTALANDS LÄN</t>
        </is>
      </c>
      <c r="G45" t="inlineStr">
        <is>
          <t>ESSUNGA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44992-2023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45190</v>
      </c>
      <c r="E46" s="1" t="n">
        <v>46220</v>
      </c>
      <c r="F46" t="inlineStr">
        <is>
          <t>VÄSTRA GÖTALANDS LÄN</t>
        </is>
      </c>
      <c r="G46" t="inlineStr">
        <is>
          <t>ESSUNGA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10889-2023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44991</v>
      </c>
      <c r="E47" s="1" t="n">
        <v>46220</v>
      </c>
      <c r="F47" t="inlineStr">
        <is>
          <t>VÄSTRA GÖTALANDS LÄN</t>
        </is>
      </c>
      <c r="G47" t="inlineStr">
        <is>
          <t>ESSUNGA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8672-2026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46066</v>
      </c>
      <c r="E48" s="1" t="n">
        <v>46220</v>
      </c>
      <c r="F48" t="inlineStr">
        <is>
          <t>VÄSTRA GÖTALANDS LÄN</t>
        </is>
      </c>
      <c r="G48" t="inlineStr">
        <is>
          <t>ESSUNGA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46575-2025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45926</v>
      </c>
      <c r="E49" s="1" t="n">
        <v>46220</v>
      </c>
      <c r="F49" t="inlineStr">
        <is>
          <t>VÄSTRA GÖTALANDS LÄN</t>
        </is>
      </c>
      <c r="G49" t="inlineStr">
        <is>
          <t>ESSUNGA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62737-2025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46008</v>
      </c>
      <c r="E50" s="1" t="n">
        <v>46220</v>
      </c>
      <c r="F50" t="inlineStr">
        <is>
          <t>VÄSTRA GÖTALANDS LÄN</t>
        </is>
      </c>
      <c r="G50" t="inlineStr">
        <is>
          <t>ESSUNGA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9531-2026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46220</v>
      </c>
      <c r="F51" t="inlineStr">
        <is>
          <t>VÄSTRA GÖTALANDS LÄN</t>
        </is>
      </c>
      <c r="G51" t="inlineStr">
        <is>
          <t>ESSUNGA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34702-2022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46220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12203-2026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46087</v>
      </c>
      <c r="E53" s="1" t="n">
        <v>46220</v>
      </c>
      <c r="F53" t="inlineStr">
        <is>
          <t>VÄSTRA GÖTALANDS LÄN</t>
        </is>
      </c>
      <c r="G53" t="inlineStr">
        <is>
          <t>ESSUNGA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36603-2022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44804</v>
      </c>
      <c r="E54" s="1" t="n">
        <v>46220</v>
      </c>
      <c r="F54" t="inlineStr">
        <is>
          <t>VÄSTRA GÖTALANDS LÄN</t>
        </is>
      </c>
      <c r="G54" t="inlineStr">
        <is>
          <t>ESSUNGA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13737-2026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46220</v>
      </c>
      <c r="F55" t="inlineStr">
        <is>
          <t>VÄSTRA GÖTALANDS LÄN</t>
        </is>
      </c>
      <c r="G55" t="inlineStr">
        <is>
          <t>ESSUNGA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62373-2021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46220</v>
      </c>
      <c r="F56" t="inlineStr">
        <is>
          <t>VÄSTRA GÖTALANDS LÄN</t>
        </is>
      </c>
      <c r="G56" t="inlineStr">
        <is>
          <t>ESSUNGA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62122-2024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45656</v>
      </c>
      <c r="E57" s="1" t="n">
        <v>46220</v>
      </c>
      <c r="F57" t="inlineStr">
        <is>
          <t>VÄSTRA GÖTALANDS LÄN</t>
        </is>
      </c>
      <c r="G57" t="inlineStr">
        <is>
          <t>ESSUNGA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15661-2026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46106</v>
      </c>
      <c r="E58" s="1" t="n">
        <v>46220</v>
      </c>
      <c r="F58" t="inlineStr">
        <is>
          <t>VÄSTRA GÖTALANDS LÄN</t>
        </is>
      </c>
      <c r="G58" t="inlineStr">
        <is>
          <t>ESSUNGA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17386-2026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46220</v>
      </c>
      <c r="F59" t="inlineStr">
        <is>
          <t>VÄSTRA GÖTALANDS LÄN</t>
        </is>
      </c>
      <c r="G59" t="inlineStr">
        <is>
          <t>ESSUNGA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17412-2026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46120</v>
      </c>
      <c r="E60" s="1" t="n">
        <v>46220</v>
      </c>
      <c r="F60" t="inlineStr">
        <is>
          <t>VÄSTRA GÖTALANDS LÄN</t>
        </is>
      </c>
      <c r="G60" t="inlineStr">
        <is>
          <t>ESSUNGA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33510-2023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45131</v>
      </c>
      <c r="E61" s="1" t="n">
        <v>46220</v>
      </c>
      <c r="F61" t="inlineStr">
        <is>
          <t>VÄSTRA GÖTALANDS LÄN</t>
        </is>
      </c>
      <c r="G61" t="inlineStr">
        <is>
          <t>ESSUNGA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64846-2023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45282</v>
      </c>
      <c r="E62" s="1" t="n">
        <v>46220</v>
      </c>
      <c r="F62" t="inlineStr">
        <is>
          <t>VÄSTRA GÖTALANDS LÄN</t>
        </is>
      </c>
      <c r="G62" t="inlineStr">
        <is>
          <t>ESSUNGA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16145-2025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45750</v>
      </c>
      <c r="E63" s="1" t="n">
        <v>46220</v>
      </c>
      <c r="F63" t="inlineStr">
        <is>
          <t>VÄSTRA GÖTALANDS LÄN</t>
        </is>
      </c>
      <c r="G63" t="inlineStr">
        <is>
          <t>ESSUNGA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15306-2024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46220</v>
      </c>
      <c r="F64" t="inlineStr">
        <is>
          <t>VÄSTRA GÖTALANDS LÄN</t>
        </is>
      </c>
      <c r="G64" t="inlineStr">
        <is>
          <t>ESSUNGA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38243-2024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46220</v>
      </c>
      <c r="F65" t="inlineStr">
        <is>
          <t>VÄSTRA GÖTALANDS LÄN</t>
        </is>
      </c>
      <c r="G65" t="inlineStr">
        <is>
          <t>ESSUNGA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38800-2025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46220</v>
      </c>
      <c r="F66" t="inlineStr">
        <is>
          <t>VÄSTRA GÖTALANDS LÄN</t>
        </is>
      </c>
      <c r="G66" t="inlineStr">
        <is>
          <t>ESSUNGA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33817-2023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45133</v>
      </c>
      <c r="E67" s="1" t="n">
        <v>46220</v>
      </c>
      <c r="F67" t="inlineStr">
        <is>
          <t>VÄSTRA GÖTALANDS LÄN</t>
        </is>
      </c>
      <c r="G67" t="inlineStr">
        <is>
          <t>ESSUNGA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56629-2021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44480</v>
      </c>
      <c r="E68" s="1" t="n">
        <v>46220</v>
      </c>
      <c r="F68" t="inlineStr">
        <is>
          <t>VÄSTRA GÖTALANDS LÄN</t>
        </is>
      </c>
      <c r="G68" t="inlineStr">
        <is>
          <t>ESSUNGA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60768-2024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46220</v>
      </c>
      <c r="F69" t="inlineStr">
        <is>
          <t>VÄSTRA GÖTALANDS LÄN</t>
        </is>
      </c>
      <c r="G69" t="inlineStr">
        <is>
          <t>ESSUNGA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54408-2021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46220</v>
      </c>
      <c r="F70" t="inlineStr">
        <is>
          <t>VÄSTRA GÖTALANDS LÄN</t>
        </is>
      </c>
      <c r="G70" t="inlineStr">
        <is>
          <t>ESSUNGA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12421-2024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45379</v>
      </c>
      <c r="E71" s="1" t="n">
        <v>46220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Kyrkan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46220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46220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60138-2022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44909</v>
      </c>
      <c r="E74" s="1" t="n">
        <v>46220</v>
      </c>
      <c r="F74" t="inlineStr">
        <is>
          <t>VÄSTRA GÖTALANDS LÄN</t>
        </is>
      </c>
      <c r="G74" t="inlineStr">
        <is>
          <t>ESSUNGA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21294-2026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46147</v>
      </c>
      <c r="E75" s="1" t="n">
        <v>46220</v>
      </c>
      <c r="F75" t="inlineStr">
        <is>
          <t>VÄSTRA GÖTALANDS LÄN</t>
        </is>
      </c>
      <c r="G75" t="inlineStr">
        <is>
          <t>ESSUNGA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28308-2026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46196</v>
      </c>
      <c r="E76" s="1" t="n">
        <v>46220</v>
      </c>
      <c r="F76" t="inlineStr">
        <is>
          <t>VÄSTRA GÖTALANDS LÄN</t>
        </is>
      </c>
      <c r="G76" t="inlineStr">
        <is>
          <t>ESSUNGA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50364-2024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46220</v>
      </c>
      <c r="F77" t="inlineStr">
        <is>
          <t>VÄSTRA GÖTALANDS LÄN</t>
        </is>
      </c>
      <c r="G77" t="inlineStr">
        <is>
          <t>ESSUNGA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38715-2022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44815</v>
      </c>
      <c r="E78" s="1" t="n">
        <v>46220</v>
      </c>
      <c r="F78" t="inlineStr">
        <is>
          <t>VÄSTRA GÖTALANDS LÄN</t>
        </is>
      </c>
      <c r="G78" t="inlineStr">
        <is>
          <t>ESSUNGA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46220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39678-2021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46220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30337-2026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46209</v>
      </c>
      <c r="E81" s="1" t="n">
        <v>46220</v>
      </c>
      <c r="F81" t="inlineStr">
        <is>
          <t>VÄSTRA GÖTALANDS LÄN</t>
        </is>
      </c>
      <c r="G81" t="inlineStr">
        <is>
          <t>ESSUNGA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18499-2022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44686</v>
      </c>
      <c r="E82" s="1" t="n">
        <v>46220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Allmännings- och besparingsskogar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13876-2023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45007</v>
      </c>
      <c r="E83" s="1" t="n">
        <v>46220</v>
      </c>
      <c r="F83" t="inlineStr">
        <is>
          <t>VÄSTRA GÖTALANDS LÄN</t>
        </is>
      </c>
      <c r="G83" t="inlineStr">
        <is>
          <t>ESSUNGA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24876-2026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46174</v>
      </c>
      <c r="E84" s="1" t="n">
        <v>46220</v>
      </c>
      <c r="F84" t="inlineStr">
        <is>
          <t>VÄSTRA GÖTALANDS LÄN</t>
        </is>
      </c>
      <c r="G84" t="inlineStr">
        <is>
          <t>ESSUNGA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45056</v>
      </c>
      <c r="E85" s="1" t="n">
        <v>46220</v>
      </c>
      <c r="F85" t="inlineStr">
        <is>
          <t>VÄSTRA GÖTALANDS LÄN</t>
        </is>
      </c>
      <c r="G85" t="inlineStr">
        <is>
          <t>ESSUNGA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10164-2025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46220</v>
      </c>
      <c r="F86" t="inlineStr">
        <is>
          <t>VÄSTRA GÖTALANDS LÄN</t>
        </is>
      </c>
      <c r="G86" t="inlineStr">
        <is>
          <t>ESSUNGA</t>
        </is>
      </c>
      <c r="H86" t="inlineStr">
        <is>
          <t>Kyrkan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>
      <c r="A87" t="inlineStr">
        <is>
          <t>A 9374-2025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46220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2026-07-17T01:41:45Z</dcterms:created>
  <dcterms:modified xmlns:dcterms="http://purl.org/dc/terms/" xmlns:xsi="http://www.w3.org/2001/XMLSchema-instance" xsi:type="dcterms:W3CDTF">2026-07-17T01:41:45Z</dcterms:modified>
</cp:coreProperties>
</file>