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46312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40387-2026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46294</v>
      </c>
      <c r="E3" s="1" t="n">
        <v>46312</v>
      </c>
      <c r="F3" t="inlineStr">
        <is>
          <t>VÄSTRA GÖTALANDS LÄN</t>
        </is>
      </c>
      <c r="G3" t="inlineStr">
        <is>
          <t>ESSUNGA</t>
        </is>
      </c>
      <c r="I3" t="n">
        <v>2.5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Röd glada</t>
        </is>
      </c>
      <c r="W3">
        <f>HYPERLINK("https://klasma.github.io/Logging_1445/artfynd/A 40387-2026 artfynd.xlsx", "A 40387-2026")</f>
        <v/>
      </c>
      <c r="X3">
        <f>HYPERLINK("https://klasma.github.io/Logging_1445/kartor/A 40387-2026 karta.png", "A 40387-2026")</f>
        <v/>
      </c>
      <c r="Y3">
        <f>HYPERLINK("https://klasma.github.io/Logging_1445/kartor_geotiff/A 40387-2026 georefererad karta.tif", "A 40387-2026")</f>
        <v/>
      </c>
      <c r="AA3">
        <f>HYPERLINK("https://klasma.github.io/Logging_1445/klagomål/A 40387-2026 FSC-klagomål.docx", "A 40387-2026")</f>
        <v/>
      </c>
      <c r="AB3">
        <f>HYPERLINK("https://klasma.github.io/Logging_1445/klagomålsmail/A 40387-2026 FSC-klagomål mail.docx", "A 40387-2026")</f>
        <v/>
      </c>
      <c r="AC3">
        <f>HYPERLINK("https://klasma.github.io/Logging_1445/tillsyn/A 40387-2026 tillsynsbegäran.docx", "A 40387-2026")</f>
        <v/>
      </c>
      <c r="AD3">
        <f>HYPERLINK("https://klasma.github.io/Logging_1445/tillsynsmail/A 40387-2026 tillsynsbegäran mail.docx", "A 40387-2026")</f>
        <v/>
      </c>
      <c r="AE3">
        <f>HYPERLINK("https://klasma.github.io/Logging_1445/fåglar/A 40387-2026 prioriterade fågelarter.docx", "A 40387-2026")</f>
        <v/>
      </c>
    </row>
    <row r="4" ht="15" customHeight="1">
      <c r="A4" t="inlineStr">
        <is>
          <t>A 3563-2024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46312</v>
      </c>
      <c r="F4" t="inlineStr">
        <is>
          <t>VÄSTRA GÖTALANDS LÄN</t>
        </is>
      </c>
      <c r="G4" t="inlineStr">
        <is>
          <t>ESSUNGA</t>
        </is>
      </c>
      <c r="I4" t="n">
        <v>1.4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3</v>
      </c>
      <c r="U4" t="n">
        <v>0</v>
      </c>
      <c r="V4" s="2" t="inlineStr">
        <is>
          <t>Revlummer</t>
        </is>
      </c>
      <c r="W4">
        <f>HYPERLINK("https://klasma.github.io/Logging_1445/artfynd/A 3563-2024 artfynd.xlsx", "A 3563-2024")</f>
        <v/>
      </c>
      <c r="X4">
        <f>HYPERLINK("https://klasma.github.io/Logging_1445/kartor/A 3563-2024 karta.png", "A 3563-2024")</f>
        <v/>
      </c>
      <c r="Y4">
        <f>HYPERLINK("https://klasma.github.io/Logging_1445/kartor_geotiff/A 3563-2024 georefererad karta.tif", "A 3563-2024")</f>
        <v/>
      </c>
      <c r="AA4">
        <f>HYPERLINK("https://klasma.github.io/Logging_1445/klagomål/A 3563-2024 FSC-klagomål.docx", "A 3563-2024")</f>
        <v/>
      </c>
      <c r="AB4">
        <f>HYPERLINK("https://klasma.github.io/Logging_1445/klagomålsmail/A 3563-2024 FSC-klagomål mail.docx", "A 3563-2024")</f>
        <v/>
      </c>
      <c r="AC4">
        <f>HYPERLINK("https://klasma.github.io/Logging_1445/tillsyn/A 3563-2024 tillsynsbegäran.docx", "A 3563-2024")</f>
        <v/>
      </c>
      <c r="AD4">
        <f>HYPERLINK("https://klasma.github.io/Logging_1445/tillsynsmail/A 3563-2024 tillsynsbegäran mail.docx", "A 3563-2024")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46312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46312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46312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46312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46312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46312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46312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46312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24686-2022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44727</v>
      </c>
      <c r="E13" s="1" t="n">
        <v>46312</v>
      </c>
      <c r="F13" t="inlineStr">
        <is>
          <t>VÄSTRA GÖTALANDS LÄN</t>
        </is>
      </c>
      <c r="G13" t="inlineStr">
        <is>
          <t>ESSUNGA</t>
        </is>
      </c>
      <c r="I13" t="n">
        <v>8.6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32914-2022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44784</v>
      </c>
      <c r="E14" s="1" t="n">
        <v>46312</v>
      </c>
      <c r="F14" t="inlineStr">
        <is>
          <t>VÄSTRA GÖTALANDS LÄN</t>
        </is>
      </c>
      <c r="G14" t="inlineStr">
        <is>
          <t>ESSUNGA</t>
        </is>
      </c>
      <c r="I14" t="n">
        <v>3.4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46312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46312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62360-2021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46312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9375-2025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45715</v>
      </c>
      <c r="E18" s="1" t="n">
        <v>46312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46312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16248-2022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44670</v>
      </c>
      <c r="E20" s="1" t="n">
        <v>46312</v>
      </c>
      <c r="F20" t="inlineStr">
        <is>
          <t>VÄSTRA GÖTALANDS LÄN</t>
        </is>
      </c>
      <c r="G20" t="inlineStr">
        <is>
          <t>ESSUNGA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64639-2023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46312</v>
      </c>
      <c r="F21" t="inlineStr">
        <is>
          <t>VÄSTRA GÖTALANDS LÄN</t>
        </is>
      </c>
      <c r="G21" t="inlineStr">
        <is>
          <t>ESSUNGA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46312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44931</v>
      </c>
      <c r="E23" s="1" t="n">
        <v>46312</v>
      </c>
      <c r="F23" t="inlineStr">
        <is>
          <t>VÄSTRA GÖTALANDS LÄN</t>
        </is>
      </c>
      <c r="G23" t="inlineStr">
        <is>
          <t>ESSUNGA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8177-2024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46312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37774-2024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45542</v>
      </c>
      <c r="E25" s="1" t="n">
        <v>46312</v>
      </c>
      <c r="F25" t="inlineStr">
        <is>
          <t>VÄSTRA GÖTALANDS LÄN</t>
        </is>
      </c>
      <c r="G25" t="inlineStr">
        <is>
          <t>ESSUNGA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38794-2025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45887</v>
      </c>
      <c r="E26" s="1" t="n">
        <v>46312</v>
      </c>
      <c r="F26" t="inlineStr">
        <is>
          <t>VÄSTRA GÖTALANDS LÄN</t>
        </is>
      </c>
      <c r="G26" t="inlineStr">
        <is>
          <t>ESSUNGA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54555-2023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45233</v>
      </c>
      <c r="E27" s="1" t="n">
        <v>46312</v>
      </c>
      <c r="F27" t="inlineStr">
        <is>
          <t>VÄSTRA GÖTALANDS LÄN</t>
        </is>
      </c>
      <c r="G27" t="inlineStr">
        <is>
          <t>ESSUNGA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46312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Kyrkan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46312</v>
      </c>
      <c r="F29" t="inlineStr">
        <is>
          <t>VÄSTRA GÖTALANDS LÄN</t>
        </is>
      </c>
      <c r="G29" t="inlineStr">
        <is>
          <t>ESSUNGA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46312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21294-2026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46312</v>
      </c>
      <c r="F31" t="inlineStr">
        <is>
          <t>VÄSTRA GÖTALANDS LÄN</t>
        </is>
      </c>
      <c r="G31" t="inlineStr">
        <is>
          <t>ESSUNGA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15552-2024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46312</v>
      </c>
      <c r="F32" t="inlineStr">
        <is>
          <t>VÄSTRA GÖTALANDS LÄN</t>
        </is>
      </c>
      <c r="G32" t="inlineStr">
        <is>
          <t>ESSUNGA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46312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44991</v>
      </c>
      <c r="E34" s="1" t="n">
        <v>46312</v>
      </c>
      <c r="F34" t="inlineStr">
        <is>
          <t>VÄSTRA GÖTALANDS LÄN</t>
        </is>
      </c>
      <c r="G34" t="inlineStr">
        <is>
          <t>ESSUNGA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46312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34702-2022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46312</v>
      </c>
      <c r="F36" t="inlineStr">
        <is>
          <t>VÄSTRA GÖTALANDS LÄN</t>
        </is>
      </c>
      <c r="G36" t="inlineStr">
        <is>
          <t>ESSUNGA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51380-2025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45950</v>
      </c>
      <c r="E37" s="1" t="n">
        <v>46312</v>
      </c>
      <c r="F37" t="inlineStr">
        <is>
          <t>VÄSTRA GÖTALANDS LÄN</t>
        </is>
      </c>
      <c r="G37" t="inlineStr">
        <is>
          <t>ESSUNGA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46312</v>
      </c>
      <c r="F38" t="inlineStr">
        <is>
          <t>VÄSTRA GÖTALANDS LÄN</t>
        </is>
      </c>
      <c r="G38" t="inlineStr">
        <is>
          <t>ESSUNGA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36603-2022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44804</v>
      </c>
      <c r="E39" s="1" t="n">
        <v>46312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45979</v>
      </c>
      <c r="E40" s="1" t="n">
        <v>46312</v>
      </c>
      <c r="F40" t="inlineStr">
        <is>
          <t>VÄSTRA GÖTALANDS LÄN</t>
        </is>
      </c>
      <c r="G40" t="inlineStr">
        <is>
          <t>ESSUNGA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46312</v>
      </c>
      <c r="F41" t="inlineStr">
        <is>
          <t>VÄSTRA GÖTALANDS LÄN</t>
        </is>
      </c>
      <c r="G41" t="inlineStr">
        <is>
          <t>ESSUNGA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62373-2021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46312</v>
      </c>
      <c r="F42" t="inlineStr">
        <is>
          <t>VÄSTRA GÖTALANDS LÄN</t>
        </is>
      </c>
      <c r="G42" t="inlineStr">
        <is>
          <t>ESSUNGA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62122-2024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45656</v>
      </c>
      <c r="E43" s="1" t="n">
        <v>46312</v>
      </c>
      <c r="F43" t="inlineStr">
        <is>
          <t>VÄSTRA GÖTALANDS LÄN</t>
        </is>
      </c>
      <c r="G43" t="inlineStr">
        <is>
          <t>ESSUNGA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46312</v>
      </c>
      <c r="F44" t="inlineStr">
        <is>
          <t>VÄSTRA GÖTALANDS LÄN</t>
        </is>
      </c>
      <c r="G44" t="inlineStr">
        <is>
          <t>ESSUNGA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46312</v>
      </c>
      <c r="F45" t="inlineStr">
        <is>
          <t>VÄSTRA GÖTALANDS LÄN</t>
        </is>
      </c>
      <c r="G45" t="inlineStr">
        <is>
          <t>ESSUNGA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62737-2025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46008</v>
      </c>
      <c r="E46" s="1" t="n">
        <v>46312</v>
      </c>
      <c r="F46" t="inlineStr">
        <is>
          <t>VÄSTRA GÖTALANDS LÄN</t>
        </is>
      </c>
      <c r="G46" t="inlineStr">
        <is>
          <t>ESSUNGA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45131</v>
      </c>
      <c r="E47" s="1" t="n">
        <v>46312</v>
      </c>
      <c r="F47" t="inlineStr">
        <is>
          <t>VÄSTRA GÖTALANDS LÄN</t>
        </is>
      </c>
      <c r="G47" t="inlineStr">
        <is>
          <t>ESSUNGA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46312</v>
      </c>
      <c r="F48" t="inlineStr">
        <is>
          <t>VÄSTRA GÖTALANDS LÄN</t>
        </is>
      </c>
      <c r="G48" t="inlineStr">
        <is>
          <t>ESSUNGA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46312</v>
      </c>
      <c r="F49" t="inlineStr">
        <is>
          <t>VÄSTRA GÖTALANDS LÄN</t>
        </is>
      </c>
      <c r="G49" t="inlineStr">
        <is>
          <t>ESSUNGA</t>
        </is>
      </c>
      <c r="H49" t="inlineStr">
        <is>
          <t>Kyrkan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16145-2025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45750</v>
      </c>
      <c r="E50" s="1" t="n">
        <v>46312</v>
      </c>
      <c r="F50" t="inlineStr">
        <is>
          <t>VÄSTRA GÖTALANDS LÄN</t>
        </is>
      </c>
      <c r="G50" t="inlineStr">
        <is>
          <t>ESSUNGA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45400</v>
      </c>
      <c r="E51" s="1" t="n">
        <v>46312</v>
      </c>
      <c r="F51" t="inlineStr">
        <is>
          <t>VÄSTRA GÖTALANDS LÄN</t>
        </is>
      </c>
      <c r="G51" t="inlineStr">
        <is>
          <t>ESSUNGA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33817-2023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46312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46066</v>
      </c>
      <c r="E53" s="1" t="n">
        <v>46312</v>
      </c>
      <c r="F53" t="inlineStr">
        <is>
          <t>VÄSTRA GÖTALANDS LÄN</t>
        </is>
      </c>
      <c r="G53" t="inlineStr">
        <is>
          <t>ESSUNGA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9531-2026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46312</v>
      </c>
      <c r="F54" t="inlineStr">
        <is>
          <t>VÄSTRA GÖTALANDS LÄN</t>
        </is>
      </c>
      <c r="G54" t="inlineStr">
        <is>
          <t>ESSUNGA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12203-2026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46087</v>
      </c>
      <c r="E55" s="1" t="n">
        <v>46312</v>
      </c>
      <c r="F55" t="inlineStr">
        <is>
          <t>VÄSTRA GÖTALANDS LÄN</t>
        </is>
      </c>
      <c r="G55" t="inlineStr">
        <is>
          <t>ESSUNGA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46312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15661-2026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46106</v>
      </c>
      <c r="E57" s="1" t="n">
        <v>46312</v>
      </c>
      <c r="F57" t="inlineStr">
        <is>
          <t>VÄSTRA GÖTALANDS LÄN</t>
        </is>
      </c>
      <c r="G57" t="inlineStr">
        <is>
          <t>ESSUNGA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28308-2026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46196</v>
      </c>
      <c r="E58" s="1" t="n">
        <v>46312</v>
      </c>
      <c r="F58" t="inlineStr">
        <is>
          <t>VÄSTRA GÖTALANDS LÄN</t>
        </is>
      </c>
      <c r="G58" t="inlineStr">
        <is>
          <t>ESSUNGA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60768-2024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45644</v>
      </c>
      <c r="E59" s="1" t="n">
        <v>46312</v>
      </c>
      <c r="F59" t="inlineStr">
        <is>
          <t>VÄSTRA GÖTALANDS LÄN</t>
        </is>
      </c>
      <c r="G59" t="inlineStr">
        <is>
          <t>ESSUNGA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46312</v>
      </c>
      <c r="F60" t="inlineStr">
        <is>
          <t>VÄSTRA GÖTALANDS LÄN</t>
        </is>
      </c>
      <c r="G60" t="inlineStr">
        <is>
          <t>ESSUNGA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46120</v>
      </c>
      <c r="E61" s="1" t="n">
        <v>46312</v>
      </c>
      <c r="F61" t="inlineStr">
        <is>
          <t>VÄSTRA GÖTALANDS LÄN</t>
        </is>
      </c>
      <c r="G61" t="inlineStr">
        <is>
          <t>ESSUNGA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20555-2022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44700</v>
      </c>
      <c r="E62" s="1" t="n">
        <v>46312</v>
      </c>
      <c r="F62" t="inlineStr">
        <is>
          <t>VÄSTRA GÖTALANDS LÄN</t>
        </is>
      </c>
      <c r="G62" t="inlineStr">
        <is>
          <t>ESSUNGA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17072-2022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44677</v>
      </c>
      <c r="E63" s="1" t="n">
        <v>46312</v>
      </c>
      <c r="F63" t="inlineStr">
        <is>
          <t>VÄSTRA GÖTALANDS LÄN</t>
        </is>
      </c>
      <c r="G63" t="inlineStr">
        <is>
          <t>ESSUNGA</t>
        </is>
      </c>
      <c r="H63" t="inlineStr">
        <is>
          <t>Allmännings- och besparingsskogar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60138-2022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46312</v>
      </c>
      <c r="F64" t="inlineStr">
        <is>
          <t>VÄSTRA GÖTALANDS LÄN</t>
        </is>
      </c>
      <c r="G64" t="inlineStr">
        <is>
          <t>ESSUNGA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46312</v>
      </c>
      <c r="F65" t="inlineStr">
        <is>
          <t>VÄSTRA GÖTALANDS LÄN</t>
        </is>
      </c>
      <c r="G65" t="inlineStr">
        <is>
          <t>ESSUNGA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46312</v>
      </c>
      <c r="F66" t="inlineStr">
        <is>
          <t>VÄSTRA GÖTALANDS LÄN</t>
        </is>
      </c>
      <c r="G66" t="inlineStr">
        <is>
          <t>ESSUNGA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46209</v>
      </c>
      <c r="E67" s="1" t="n">
        <v>46312</v>
      </c>
      <c r="F67" t="inlineStr">
        <is>
          <t>VÄSTRA GÖTALANDS LÄN</t>
        </is>
      </c>
      <c r="G67" t="inlineStr">
        <is>
          <t>ESSUNGA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44815</v>
      </c>
      <c r="E68" s="1" t="n">
        <v>46312</v>
      </c>
      <c r="F68" t="inlineStr">
        <is>
          <t>VÄSTRA GÖTALANDS LÄN</t>
        </is>
      </c>
      <c r="G68" t="inlineStr">
        <is>
          <t>ESSUNGA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46312</v>
      </c>
      <c r="F69" t="inlineStr">
        <is>
          <t>VÄSTRA GÖTALANDS LÄN</t>
        </is>
      </c>
      <c r="G69" t="inlineStr">
        <is>
          <t>ESSUNGA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46238</v>
      </c>
      <c r="E70" s="1" t="n">
        <v>46312</v>
      </c>
      <c r="F70" t="inlineStr">
        <is>
          <t>VÄSTRA GÖTALANDS LÄN</t>
        </is>
      </c>
      <c r="G70" t="inlineStr">
        <is>
          <t>ESSUNGA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46312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Allmännings- och besparingsskogar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38806-2026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46286</v>
      </c>
      <c r="E72" s="1" t="n">
        <v>46312</v>
      </c>
      <c r="F72" t="inlineStr">
        <is>
          <t>VÄSTRA GÖTALANDS LÄN</t>
        </is>
      </c>
      <c r="G72" t="inlineStr">
        <is>
          <t>ESSUNGA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46312</v>
      </c>
      <c r="F73" t="inlineStr">
        <is>
          <t>VÄSTRA GÖTALANDS LÄN</t>
        </is>
      </c>
      <c r="G73" t="inlineStr">
        <is>
          <t>ESSUNGA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46312</v>
      </c>
      <c r="F74" t="inlineStr">
        <is>
          <t>VÄSTRA GÖTALANDS LÄN</t>
        </is>
      </c>
      <c r="G74" t="inlineStr">
        <is>
          <t>ESSUNGA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20332-2023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45056</v>
      </c>
      <c r="E75" s="1" t="n">
        <v>46312</v>
      </c>
      <c r="F75" t="inlineStr">
        <is>
          <t>VÄSTRA GÖTALANDS LÄN</t>
        </is>
      </c>
      <c r="G75" t="inlineStr">
        <is>
          <t>ESSUNGA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46260</v>
      </c>
      <c r="E76" s="1" t="n">
        <v>46312</v>
      </c>
      <c r="F76" t="inlineStr">
        <is>
          <t>VÄSTRA GÖTALANDS LÄN</t>
        </is>
      </c>
      <c r="G76" t="inlineStr">
        <is>
          <t>ESSUNGA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46312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46312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46265</v>
      </c>
      <c r="E79" s="1" t="n">
        <v>46312</v>
      </c>
      <c r="F79" t="inlineStr">
        <is>
          <t>VÄSTRA GÖTALANDS LÄN</t>
        </is>
      </c>
      <c r="G79" t="inlineStr">
        <is>
          <t>ESSUNGA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46308</v>
      </c>
      <c r="E80" s="1" t="n">
        <v>46312</v>
      </c>
      <c r="F80" t="inlineStr">
        <is>
          <t>VÄSTRA GÖTALANDS LÄN</t>
        </is>
      </c>
      <c r="G80" t="inlineStr">
        <is>
          <t>ESSUNGA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46312</v>
      </c>
      <c r="F81" t="inlineStr">
        <is>
          <t>VÄSTRA GÖTALANDS LÄN</t>
        </is>
      </c>
      <c r="G81" t="inlineStr">
        <is>
          <t>ESSUNGA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46312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46268</v>
      </c>
      <c r="E83" s="1" t="n">
        <v>46312</v>
      </c>
      <c r="F83" t="inlineStr">
        <is>
          <t>VÄSTRA GÖTALANDS LÄN</t>
        </is>
      </c>
      <c r="G83" t="inlineStr">
        <is>
          <t>ESSUNGA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32176-2025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45835</v>
      </c>
      <c r="E84" s="1" t="n">
        <v>46312</v>
      </c>
      <c r="F84" t="inlineStr">
        <is>
          <t>VÄSTRA GÖTALANDS LÄN</t>
        </is>
      </c>
      <c r="G84" t="inlineStr">
        <is>
          <t>ESSUNGA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32615-2025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46312</v>
      </c>
      <c r="F85" t="inlineStr">
        <is>
          <t>VÄSTRA GÖTALANDS LÄN</t>
        </is>
      </c>
      <c r="G85" t="inlineStr">
        <is>
          <t>ESSUNGA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2026-10-17T02:06:03Z</dcterms:created>
  <dcterms:modified xmlns:dcterms="http://purl.org/dc/terms/" xmlns:xsi="http://www.w3.org/2001/XMLSchema-instance" xsi:type="dcterms:W3CDTF">2026-10-17T02:06:03Z</dcterms:modified>
</cp:coreProperties>
</file>