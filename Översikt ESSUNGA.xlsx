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Blomkålssvamp</t>
        </is>
      </c>
      <c r="V2">
        <f>HYPERLINK("https://klasma.github.io/Logging_1445/artfynd/A 56429-2022 artfynd.xlsx", "A 56429-2022")</f>
        <v/>
      </c>
      <c r="W2">
        <f>HYPERLINK("https://klasma.github.io/Logging_1445/kartor/A 56429-2022 karta.png", "A 56429-2022")</f>
        <v/>
      </c>
      <c r="Y2">
        <f>HYPERLINK("https://klasma.github.io/Logging_1445/klagomål/A 56429-2022 FSC-klagomål.docx", "A 56429-2022")</f>
        <v/>
      </c>
      <c r="Z2">
        <f>HYPERLINK("https://klasma.github.io/Logging_1445/klagomålsmail/A 56429-2022 FSC-klagomål mail.docx", "A 56429-2022")</f>
        <v/>
      </c>
      <c r="AA2">
        <f>HYPERLINK("https://klasma.github.io/Logging_1445/tillsyn/A 56429-2022 tillsynsbegäran.docx", "A 56429-2022")</f>
        <v/>
      </c>
      <c r="AB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s="2" t="inlineStr">
        <is>
          <t>Revlummer</t>
        </is>
      </c>
      <c r="V3">
        <f>HYPERLINK("https://klasma.github.io/Logging_1445/artfynd/A 3563-2024 artfynd.xlsx", "A 3563-2024")</f>
        <v/>
      </c>
      <c r="W3">
        <f>HYPERLINK("https://klasma.github.io/Logging_1445/kartor/A 3563-2024 karta.png", "A 3563-2024")</f>
        <v/>
      </c>
      <c r="Y3">
        <f>HYPERLINK("https://klasma.github.io/Logging_1445/klagomål/A 3563-2024 FSC-klagomål.docx", "A 3563-2024")</f>
        <v/>
      </c>
      <c r="Z3">
        <f>HYPERLINK("https://klasma.github.io/Logging_1445/klagomålsmail/A 3563-2024 FSC-klagomål mail.docx", "A 3563-2024")</f>
        <v/>
      </c>
      <c r="AA3">
        <f>HYPERLINK("https://klasma.github.io/Logging_1445/tillsyn/A 3563-2024 tillsynsbegäran.docx", "A 3563-2024")</f>
        <v/>
      </c>
      <c r="AB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46221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46221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46221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46221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46221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46221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46221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46221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46221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46221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46221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15552-2024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46221</v>
      </c>
      <c r="F17" t="inlineStr">
        <is>
          <t>VÄSTRA GÖTALANDS LÄN</t>
        </is>
      </c>
      <c r="G17" t="inlineStr">
        <is>
          <t>ESSUNGA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3317-2024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46221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10.2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46221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46221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46221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46221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60138-2022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44909</v>
      </c>
      <c r="E23" s="1" t="n">
        <v>46221</v>
      </c>
      <c r="F23" t="inlineStr">
        <is>
          <t>VÄSTRA GÖTALANDS LÄN</t>
        </is>
      </c>
      <c r="G23" t="inlineStr">
        <is>
          <t>ESSUNGA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46221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12421-2024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46221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46221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46221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46221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46221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46221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46221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46221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46221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46221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46221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46221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46221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60768-2024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46221</v>
      </c>
      <c r="F38" t="inlineStr">
        <is>
          <t>VÄSTRA GÖTALANDS LÄN</t>
        </is>
      </c>
      <c r="G38" t="inlineStr">
        <is>
          <t>ESSUNGA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46221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46066</v>
      </c>
      <c r="E40" s="1" t="n">
        <v>46221</v>
      </c>
      <c r="F40" t="inlineStr">
        <is>
          <t>VÄSTRA GÖTALANDS LÄN</t>
        </is>
      </c>
      <c r="G40" t="inlineStr">
        <is>
          <t>ESSUNGA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9531-2026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46221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44804</v>
      </c>
      <c r="E42" s="1" t="n">
        <v>46221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46221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46221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46221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12203-2026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46087</v>
      </c>
      <c r="E46" s="1" t="n">
        <v>46221</v>
      </c>
      <c r="F46" t="inlineStr">
        <is>
          <t>VÄSTRA GÖTALANDS LÄN</t>
        </is>
      </c>
      <c r="G46" t="inlineStr">
        <is>
          <t>ESSUNGA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46221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34702-2022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46221</v>
      </c>
      <c r="F48" t="inlineStr">
        <is>
          <t>VÄSTRA GÖTALANDS LÄN</t>
        </is>
      </c>
      <c r="G48" t="inlineStr">
        <is>
          <t>ESSUNGA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46221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46221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45542</v>
      </c>
      <c r="E51" s="1" t="n">
        <v>46221</v>
      </c>
      <c r="F51" t="inlineStr">
        <is>
          <t>VÄSTRA GÖTALANDS LÄN</t>
        </is>
      </c>
      <c r="G51" t="inlineStr">
        <is>
          <t>ESSUNGA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46221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45656</v>
      </c>
      <c r="E53" s="1" t="n">
        <v>46221</v>
      </c>
      <c r="F53" t="inlineStr">
        <is>
          <t>VÄSTRA GÖTALANDS LÄN</t>
        </is>
      </c>
      <c r="G53" t="inlineStr">
        <is>
          <t>ESSUNGA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62373-2021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46221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46221</v>
      </c>
      <c r="F55" t="inlineStr">
        <is>
          <t>VÄSTRA GÖTALANDS LÄN</t>
        </is>
      </c>
      <c r="G55" t="inlineStr">
        <is>
          <t>ESSUNGA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46221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46221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17412-2026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46120</v>
      </c>
      <c r="E58" s="1" t="n">
        <v>46221</v>
      </c>
      <c r="F58" t="inlineStr">
        <is>
          <t>VÄSTRA GÖTALANDS LÄN</t>
        </is>
      </c>
      <c r="G58" t="inlineStr">
        <is>
          <t>ESSUNGA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46221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13876-2023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46221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46221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46221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38243-2024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46221</v>
      </c>
      <c r="F63" t="inlineStr">
        <is>
          <t>VÄSTRA GÖTALANDS LÄN</t>
        </is>
      </c>
      <c r="G63" t="inlineStr">
        <is>
          <t>ESSUNGA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16248-2022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46221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46221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54555-2023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46221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46221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46221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46147</v>
      </c>
      <c r="E69" s="1" t="n">
        <v>46221</v>
      </c>
      <c r="F69" t="inlineStr">
        <is>
          <t>VÄSTRA GÖTALANDS LÄN</t>
        </is>
      </c>
      <c r="G69" t="inlineStr">
        <is>
          <t>ESSUNGA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28308-2026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46221</v>
      </c>
      <c r="F70" t="inlineStr">
        <is>
          <t>VÄSTRA GÖTALANDS LÄN</t>
        </is>
      </c>
      <c r="G70" t="inlineStr">
        <is>
          <t>ESSUNGA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46221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46221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15306-2024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46221</v>
      </c>
      <c r="F73" t="inlineStr">
        <is>
          <t>VÄSTRA GÖTALANDS LÄN</t>
        </is>
      </c>
      <c r="G73" t="inlineStr">
        <is>
          <t>ESSUNGA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50364-2024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46221</v>
      </c>
      <c r="F74" t="inlineStr">
        <is>
          <t>VÄSTRA GÖTALANDS LÄN</t>
        </is>
      </c>
      <c r="G74" t="inlineStr">
        <is>
          <t>ESSUNGA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46221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46221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46221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46221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46221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45131</v>
      </c>
      <c r="E80" s="1" t="n">
        <v>46221</v>
      </c>
      <c r="F80" t="inlineStr">
        <is>
          <t>VÄSTRA GÖTALANDS LÄN</t>
        </is>
      </c>
      <c r="G80" t="inlineStr">
        <is>
          <t>ESSUNGA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46221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46221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44815</v>
      </c>
      <c r="E83" s="1" t="n">
        <v>46221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46221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46221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46221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46221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2026-07-18T01:20:55Z</dcterms:created>
  <dcterms:modified xmlns:dcterms="http://purl.org/dc/terms/" xmlns:xsi="http://www.w3.org/2001/XMLSchema-instance" xsi:type="dcterms:W3CDTF">2026-07-18T01:20:55Z</dcterms:modified>
</cp:coreProperties>
</file>