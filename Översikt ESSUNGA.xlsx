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17537-2024</t>
        </is>
      </c>
      <c r="B2" s="1" t="n">
        <v>45415</v>
      </c>
      <c r="C2" s="1" t="n">
        <v>45512</v>
      </c>
      <c r="D2" t="inlineStr">
        <is>
          <t>VÄSTRA GÖTALANDS LÄN</t>
        </is>
      </c>
      <c r="E2" t="inlineStr">
        <is>
          <t>ESSUNGA</t>
        </is>
      </c>
      <c r="G2" t="n">
        <v>8.4</v>
      </c>
      <c r="H2" t="n">
        <v>4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4</v>
      </c>
      <c r="R2" s="2" t="inlineStr">
        <is>
          <t>Knärot
Fläcknycklar
Lopplummer
Mattlummer</t>
        </is>
      </c>
      <c r="S2">
        <f>HYPERLINK("https://klasma.github.io/Logging_1445/artfynd/A 17537-2024 artfynd.xlsx", "A 17537-2024")</f>
        <v/>
      </c>
      <c r="T2">
        <f>HYPERLINK("https://klasma.github.io/Logging_1445/kartor/A 17537-2024 karta.png", "A 17537-2024")</f>
        <v/>
      </c>
      <c r="U2">
        <f>HYPERLINK("https://klasma.github.io/Logging_1445/knärot/A 17537-2024 karta knärot.png", "A 17537-2024")</f>
        <v/>
      </c>
      <c r="V2">
        <f>HYPERLINK("https://klasma.github.io/Logging_1445/klagomål/A 17537-2024 FSC-klagomål.docx", "A 17537-2024")</f>
        <v/>
      </c>
      <c r="W2">
        <f>HYPERLINK("https://klasma.github.io/Logging_1445/klagomålsmail/A 17537-2024 FSC-klagomål mail.docx", "A 17537-2024")</f>
        <v/>
      </c>
      <c r="X2">
        <f>HYPERLINK("https://klasma.github.io/Logging_1445/tillsyn/A 17537-2024 tillsynsbegäran.docx", "A 17537-2024")</f>
        <v/>
      </c>
      <c r="Y2">
        <f>HYPERLINK("https://klasma.github.io/Logging_1445/tillsynsmail/A 17537-2024 tillsynsbegäran mail.docx", "A 17537-2024")</f>
        <v/>
      </c>
    </row>
    <row r="3" ht="15" customHeight="1">
      <c r="A3" t="inlineStr">
        <is>
          <t>A 3563-2024</t>
        </is>
      </c>
      <c r="B3" s="1" t="n">
        <v>45320</v>
      </c>
      <c r="C3" s="1" t="n">
        <v>45512</v>
      </c>
      <c r="D3" t="inlineStr">
        <is>
          <t>VÄSTRA GÖTALANDS LÄN</t>
        </is>
      </c>
      <c r="E3" t="inlineStr">
        <is>
          <t>ESSUNGA</t>
        </is>
      </c>
      <c r="G3" t="n">
        <v>1.4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HYPERLINK("https://klasma.github.io/Logging_1445/artfynd/A 3563-2024 artfynd.xlsx", "A 3563-2024")</f>
        <v/>
      </c>
      <c r="T3">
        <f>HYPERLINK("https://klasma.github.io/Logging_1445/kartor/A 3563-2024 karta.png", "A 3563-2024")</f>
        <v/>
      </c>
      <c r="V3">
        <f>HYPERLINK("https://klasma.github.io/Logging_1445/klagomål/A 3563-2024 FSC-klagomål.docx", "A 3563-2024")</f>
        <v/>
      </c>
      <c r="W3">
        <f>HYPERLINK("https://klasma.github.io/Logging_1445/klagomålsmail/A 3563-2024 FSC-klagomål mail.docx", "A 3563-2024")</f>
        <v/>
      </c>
      <c r="X3">
        <f>HYPERLINK("https://klasma.github.io/Logging_1445/tillsyn/A 3563-2024 tillsynsbegäran.docx", "A 3563-2024")</f>
        <v/>
      </c>
      <c r="Y3">
        <f>HYPERLINK("https://klasma.github.io/Logging_1445/tillsynsmail/A 3563-2024 tillsynsbegäran mail.docx", "A 3563-2024")</f>
        <v/>
      </c>
    </row>
    <row r="4" ht="15" customHeight="1">
      <c r="A4" t="inlineStr">
        <is>
          <t>A 18681-2019</t>
        </is>
      </c>
      <c r="B4" s="1" t="n">
        <v>43560</v>
      </c>
      <c r="C4" s="1" t="n">
        <v>45512</v>
      </c>
      <c r="D4" t="inlineStr">
        <is>
          <t>VÄSTRA GÖTALANDS LÄN</t>
        </is>
      </c>
      <c r="E4" t="inlineStr">
        <is>
          <t>ESSUNGA</t>
        </is>
      </c>
      <c r="G4" t="n">
        <v>1.4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23951-2019</t>
        </is>
      </c>
      <c r="B5" s="1" t="n">
        <v>43597</v>
      </c>
      <c r="C5" s="1" t="n">
        <v>45512</v>
      </c>
      <c r="D5" t="inlineStr">
        <is>
          <t>VÄSTRA GÖTALANDS LÄN</t>
        </is>
      </c>
      <c r="E5" t="inlineStr">
        <is>
          <t>ESSUNGA</t>
        </is>
      </c>
      <c r="G5" t="n">
        <v>2.9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24869-2019</t>
        </is>
      </c>
      <c r="B6" s="1" t="n">
        <v>43602</v>
      </c>
      <c r="C6" s="1" t="n">
        <v>45512</v>
      </c>
      <c r="D6" t="inlineStr">
        <is>
          <t>VÄSTRA GÖTALANDS LÄN</t>
        </is>
      </c>
      <c r="E6" t="inlineStr">
        <is>
          <t>ESSUNGA</t>
        </is>
      </c>
      <c r="G6" t="n">
        <v>7.1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31361-2019</t>
        </is>
      </c>
      <c r="B7" s="1" t="n">
        <v>43641</v>
      </c>
      <c r="C7" s="1" t="n">
        <v>45512</v>
      </c>
      <c r="D7" t="inlineStr">
        <is>
          <t>VÄSTRA GÖTALANDS LÄN</t>
        </is>
      </c>
      <c r="E7" t="inlineStr">
        <is>
          <t>ESSUNGA</t>
        </is>
      </c>
      <c r="G7" t="n">
        <v>4.7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33376-2019</t>
        </is>
      </c>
      <c r="B8" s="1" t="n">
        <v>43650</v>
      </c>
      <c r="C8" s="1" t="n">
        <v>45512</v>
      </c>
      <c r="D8" t="inlineStr">
        <is>
          <t>VÄSTRA GÖTALANDS LÄN</t>
        </is>
      </c>
      <c r="E8" t="inlineStr">
        <is>
          <t>ESSUNGA</t>
        </is>
      </c>
      <c r="G8" t="n">
        <v>5.1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33369-2019</t>
        </is>
      </c>
      <c r="B9" s="1" t="n">
        <v>43650</v>
      </c>
      <c r="C9" s="1" t="n">
        <v>45512</v>
      </c>
      <c r="D9" t="inlineStr">
        <is>
          <t>VÄSTRA GÖTALANDS LÄN</t>
        </is>
      </c>
      <c r="E9" t="inlineStr">
        <is>
          <t>ESSUNGA</t>
        </is>
      </c>
      <c r="F9" t="inlineStr">
        <is>
          <t>Kyrkan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33936-2019</t>
        </is>
      </c>
      <c r="B10" s="1" t="n">
        <v>43654</v>
      </c>
      <c r="C10" s="1" t="n">
        <v>45512</v>
      </c>
      <c r="D10" t="inlineStr">
        <is>
          <t>VÄSTRA GÖTALANDS LÄN</t>
        </is>
      </c>
      <c r="E10" t="inlineStr">
        <is>
          <t>ESSUNGA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37029-2019</t>
        </is>
      </c>
      <c r="B11" s="1" t="n">
        <v>43676</v>
      </c>
      <c r="C11" s="1" t="n">
        <v>45512</v>
      </c>
      <c r="D11" t="inlineStr">
        <is>
          <t>VÄSTRA GÖTALANDS LÄN</t>
        </is>
      </c>
      <c r="E11" t="inlineStr">
        <is>
          <t>ESSUNGA</t>
        </is>
      </c>
      <c r="G11" t="n">
        <v>3.7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41124-2019</t>
        </is>
      </c>
      <c r="B12" s="1" t="n">
        <v>43691</v>
      </c>
      <c r="C12" s="1" t="n">
        <v>45512</v>
      </c>
      <c r="D12" t="inlineStr">
        <is>
          <t>VÄSTRA GÖTALANDS LÄN</t>
        </is>
      </c>
      <c r="E12" t="inlineStr">
        <is>
          <t>ESSUNGA</t>
        </is>
      </c>
      <c r="G12" t="n">
        <v>2.9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47671-2019</t>
        </is>
      </c>
      <c r="B13" s="1" t="n">
        <v>43724</v>
      </c>
      <c r="C13" s="1" t="n">
        <v>45512</v>
      </c>
      <c r="D13" t="inlineStr">
        <is>
          <t>VÄSTRA GÖTALANDS LÄN</t>
        </is>
      </c>
      <c r="E13" t="inlineStr">
        <is>
          <t>ESSUNGA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52891-2019</t>
        </is>
      </c>
      <c r="B14" s="1" t="n">
        <v>43746</v>
      </c>
      <c r="C14" s="1" t="n">
        <v>45512</v>
      </c>
      <c r="D14" t="inlineStr">
        <is>
          <t>VÄSTRA GÖTALANDS LÄN</t>
        </is>
      </c>
      <c r="E14" t="inlineStr">
        <is>
          <t>ESSUNGA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57925-2019</t>
        </is>
      </c>
      <c r="B15" s="1" t="n">
        <v>43769</v>
      </c>
      <c r="C15" s="1" t="n">
        <v>45512</v>
      </c>
      <c r="D15" t="inlineStr">
        <is>
          <t>VÄSTRA GÖTALANDS LÄN</t>
        </is>
      </c>
      <c r="E15" t="inlineStr">
        <is>
          <t>ESSUNGA</t>
        </is>
      </c>
      <c r="F15" t="inlineStr">
        <is>
          <t>Kyrkan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61886-2019</t>
        </is>
      </c>
      <c r="B16" s="1" t="n">
        <v>43781</v>
      </c>
      <c r="C16" s="1" t="n">
        <v>45512</v>
      </c>
      <c r="D16" t="inlineStr">
        <is>
          <t>VÄSTRA GÖTALANDS LÄN</t>
        </is>
      </c>
      <c r="E16" t="inlineStr">
        <is>
          <t>ESSUNGA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63645-2019</t>
        </is>
      </c>
      <c r="B17" s="1" t="n">
        <v>43795</v>
      </c>
      <c r="C17" s="1" t="n">
        <v>45512</v>
      </c>
      <c r="D17" t="inlineStr">
        <is>
          <t>VÄSTRA GÖTALANDS LÄN</t>
        </is>
      </c>
      <c r="E17" t="inlineStr">
        <is>
          <t>ESSUNGA</t>
        </is>
      </c>
      <c r="G17" t="n">
        <v>2.7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64009-2019</t>
        </is>
      </c>
      <c r="B18" s="1" t="n">
        <v>43796</v>
      </c>
      <c r="C18" s="1" t="n">
        <v>45512</v>
      </c>
      <c r="D18" t="inlineStr">
        <is>
          <t>VÄSTRA GÖTALANDS LÄN</t>
        </is>
      </c>
      <c r="E18" t="inlineStr">
        <is>
          <t>ESSUNGA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68834-2019</t>
        </is>
      </c>
      <c r="B19" s="1" t="n">
        <v>43819</v>
      </c>
      <c r="C19" s="1" t="n">
        <v>45512</v>
      </c>
      <c r="D19" t="inlineStr">
        <is>
          <t>VÄSTRA GÖTALANDS LÄN</t>
        </is>
      </c>
      <c r="E19" t="inlineStr">
        <is>
          <t>ESSUNGA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5669-2020</t>
        </is>
      </c>
      <c r="B20" s="1" t="n">
        <v>43861</v>
      </c>
      <c r="C20" s="1" t="n">
        <v>45512</v>
      </c>
      <c r="D20" t="inlineStr">
        <is>
          <t>VÄSTRA GÖTALANDS LÄN</t>
        </is>
      </c>
      <c r="E20" t="inlineStr">
        <is>
          <t>ESSUNGA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14670-2020</t>
        </is>
      </c>
      <c r="B21" s="1" t="n">
        <v>43909</v>
      </c>
      <c r="C21" s="1" t="n">
        <v>45512</v>
      </c>
      <c r="D21" t="inlineStr">
        <is>
          <t>VÄSTRA GÖTALANDS LÄN</t>
        </is>
      </c>
      <c r="E21" t="inlineStr">
        <is>
          <t>ESSUNGA</t>
        </is>
      </c>
      <c r="G21" t="n">
        <v>4.2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22028-2020</t>
        </is>
      </c>
      <c r="B22" s="1" t="n">
        <v>43959</v>
      </c>
      <c r="C22" s="1" t="n">
        <v>45512</v>
      </c>
      <c r="D22" t="inlineStr">
        <is>
          <t>VÄSTRA GÖTALANDS LÄN</t>
        </is>
      </c>
      <c r="E22" t="inlineStr">
        <is>
          <t>ESSUNGA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22190-2020</t>
        </is>
      </c>
      <c r="B23" s="1" t="n">
        <v>43962</v>
      </c>
      <c r="C23" s="1" t="n">
        <v>45512</v>
      </c>
      <c r="D23" t="inlineStr">
        <is>
          <t>VÄSTRA GÖTALANDS LÄN</t>
        </is>
      </c>
      <c r="E23" t="inlineStr">
        <is>
          <t>ESSUNGA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22852-2020</t>
        </is>
      </c>
      <c r="B24" s="1" t="n">
        <v>43964</v>
      </c>
      <c r="C24" s="1" t="n">
        <v>45512</v>
      </c>
      <c r="D24" t="inlineStr">
        <is>
          <t>VÄSTRA GÖTALANDS LÄN</t>
        </is>
      </c>
      <c r="E24" t="inlineStr">
        <is>
          <t>ESSUNGA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25187-2020</t>
        </is>
      </c>
      <c r="B25" s="1" t="n">
        <v>43980</v>
      </c>
      <c r="C25" s="1" t="n">
        <v>45512</v>
      </c>
      <c r="D25" t="inlineStr">
        <is>
          <t>VÄSTRA GÖTALANDS LÄN</t>
        </is>
      </c>
      <c r="E25" t="inlineStr">
        <is>
          <t>ESSUNGA</t>
        </is>
      </c>
      <c r="G25" t="n">
        <v>5.9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26521-2020</t>
        </is>
      </c>
      <c r="B26" s="1" t="n">
        <v>43987</v>
      </c>
      <c r="C26" s="1" t="n">
        <v>45512</v>
      </c>
      <c r="D26" t="inlineStr">
        <is>
          <t>VÄSTRA GÖTALANDS LÄN</t>
        </is>
      </c>
      <c r="E26" t="inlineStr">
        <is>
          <t>ESSUNGA</t>
        </is>
      </c>
      <c r="G26" t="n">
        <v>13.1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32788-2020</t>
        </is>
      </c>
      <c r="B27" s="1" t="n">
        <v>44020</v>
      </c>
      <c r="C27" s="1" t="n">
        <v>45512</v>
      </c>
      <c r="D27" t="inlineStr">
        <is>
          <t>VÄSTRA GÖTALANDS LÄN</t>
        </is>
      </c>
      <c r="E27" t="inlineStr">
        <is>
          <t>ESSUNGA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33134-2020</t>
        </is>
      </c>
      <c r="B28" s="1" t="n">
        <v>44021</v>
      </c>
      <c r="C28" s="1" t="n">
        <v>45512</v>
      </c>
      <c r="D28" t="inlineStr">
        <is>
          <t>VÄSTRA GÖTALANDS LÄN</t>
        </is>
      </c>
      <c r="E28" t="inlineStr">
        <is>
          <t>ESSUNGA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36831-2020</t>
        </is>
      </c>
      <c r="B29" s="1" t="n">
        <v>44053</v>
      </c>
      <c r="C29" s="1" t="n">
        <v>45512</v>
      </c>
      <c r="D29" t="inlineStr">
        <is>
          <t>VÄSTRA GÖTALANDS LÄN</t>
        </is>
      </c>
      <c r="E29" t="inlineStr">
        <is>
          <t>ESSUNGA</t>
        </is>
      </c>
      <c r="G29" t="n">
        <v>4.3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37907-2020</t>
        </is>
      </c>
      <c r="B30" s="1" t="n">
        <v>44057</v>
      </c>
      <c r="C30" s="1" t="n">
        <v>45512</v>
      </c>
      <c r="D30" t="inlineStr">
        <is>
          <t>VÄSTRA GÖTALANDS LÄN</t>
        </is>
      </c>
      <c r="E30" t="inlineStr">
        <is>
          <t>ESSUNGA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40258-2020</t>
        </is>
      </c>
      <c r="B31" s="1" t="n">
        <v>44068</v>
      </c>
      <c r="C31" s="1" t="n">
        <v>45512</v>
      </c>
      <c r="D31" t="inlineStr">
        <is>
          <t>VÄSTRA GÖTALANDS LÄN</t>
        </is>
      </c>
      <c r="E31" t="inlineStr">
        <is>
          <t>ESSUNGA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40296-2020</t>
        </is>
      </c>
      <c r="B32" s="1" t="n">
        <v>44068</v>
      </c>
      <c r="C32" s="1" t="n">
        <v>45512</v>
      </c>
      <c r="D32" t="inlineStr">
        <is>
          <t>VÄSTRA GÖTALANDS LÄN</t>
        </is>
      </c>
      <c r="E32" t="inlineStr">
        <is>
          <t>ESSUNGA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40937-2020</t>
        </is>
      </c>
      <c r="B33" s="1" t="n">
        <v>44070</v>
      </c>
      <c r="C33" s="1" t="n">
        <v>45512</v>
      </c>
      <c r="D33" t="inlineStr">
        <is>
          <t>VÄSTRA GÖTALANDS LÄN</t>
        </is>
      </c>
      <c r="E33" t="inlineStr">
        <is>
          <t>ESSUNGA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40942-2020</t>
        </is>
      </c>
      <c r="B34" s="1" t="n">
        <v>44070</v>
      </c>
      <c r="C34" s="1" t="n">
        <v>45512</v>
      </c>
      <c r="D34" t="inlineStr">
        <is>
          <t>VÄSTRA GÖTALANDS LÄN</t>
        </is>
      </c>
      <c r="E34" t="inlineStr">
        <is>
          <t>ESSUNGA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47017-2020</t>
        </is>
      </c>
      <c r="B35" s="1" t="n">
        <v>44096</v>
      </c>
      <c r="C35" s="1" t="n">
        <v>45512</v>
      </c>
      <c r="D35" t="inlineStr">
        <is>
          <t>VÄSTRA GÖTALANDS LÄN</t>
        </is>
      </c>
      <c r="E35" t="inlineStr">
        <is>
          <t>ESSUNGA</t>
        </is>
      </c>
      <c r="G35" t="n">
        <v>0.1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49855-2020</t>
        </is>
      </c>
      <c r="B36" s="1" t="n">
        <v>44107</v>
      </c>
      <c r="C36" s="1" t="n">
        <v>45512</v>
      </c>
      <c r="D36" t="inlineStr">
        <is>
          <t>VÄSTRA GÖTALANDS LÄN</t>
        </is>
      </c>
      <c r="E36" t="inlineStr">
        <is>
          <t>ESSUNGA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55453-2020</t>
        </is>
      </c>
      <c r="B37" s="1" t="n">
        <v>44130</v>
      </c>
      <c r="C37" s="1" t="n">
        <v>45512</v>
      </c>
      <c r="D37" t="inlineStr">
        <is>
          <t>VÄSTRA GÖTALANDS LÄN</t>
        </is>
      </c>
      <c r="E37" t="inlineStr">
        <is>
          <t>ESSUNGA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56235-2020</t>
        </is>
      </c>
      <c r="B38" s="1" t="n">
        <v>44134</v>
      </c>
      <c r="C38" s="1" t="n">
        <v>45512</v>
      </c>
      <c r="D38" t="inlineStr">
        <is>
          <t>VÄSTRA GÖTALANDS LÄN</t>
        </is>
      </c>
      <c r="E38" t="inlineStr">
        <is>
          <t>ESSUNGA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58217-2020</t>
        </is>
      </c>
      <c r="B39" s="1" t="n">
        <v>44144</v>
      </c>
      <c r="C39" s="1" t="n">
        <v>45512</v>
      </c>
      <c r="D39" t="inlineStr">
        <is>
          <t>VÄSTRA GÖTALANDS LÄN</t>
        </is>
      </c>
      <c r="E39" t="inlineStr">
        <is>
          <t>ESSUNGA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59320-2020</t>
        </is>
      </c>
      <c r="B40" s="1" t="n">
        <v>44147</v>
      </c>
      <c r="C40" s="1" t="n">
        <v>45512</v>
      </c>
      <c r="D40" t="inlineStr">
        <is>
          <t>VÄSTRA GÖTALANDS LÄN</t>
        </is>
      </c>
      <c r="E40" t="inlineStr">
        <is>
          <t>ESSUNGA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572-2021</t>
        </is>
      </c>
      <c r="B41" s="1" t="n">
        <v>44203</v>
      </c>
      <c r="C41" s="1" t="n">
        <v>45512</v>
      </c>
      <c r="D41" t="inlineStr">
        <is>
          <t>VÄSTRA GÖTALANDS LÄN</t>
        </is>
      </c>
      <c r="E41" t="inlineStr">
        <is>
          <t>ESSUNGA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564-2021</t>
        </is>
      </c>
      <c r="B42" s="1" t="n">
        <v>44203</v>
      </c>
      <c r="C42" s="1" t="n">
        <v>45512</v>
      </c>
      <c r="D42" t="inlineStr">
        <is>
          <t>VÄSTRA GÖTALANDS LÄN</t>
        </is>
      </c>
      <c r="E42" t="inlineStr">
        <is>
          <t>ESSUNGA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4154-2021</t>
        </is>
      </c>
      <c r="B43" s="1" t="n">
        <v>44223</v>
      </c>
      <c r="C43" s="1" t="n">
        <v>45512</v>
      </c>
      <c r="D43" t="inlineStr">
        <is>
          <t>VÄSTRA GÖTALANDS LÄN</t>
        </is>
      </c>
      <c r="E43" t="inlineStr">
        <is>
          <t>ESSUNGA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11137-2021</t>
        </is>
      </c>
      <c r="B44" s="1" t="n">
        <v>44260</v>
      </c>
      <c r="C44" s="1" t="n">
        <v>45512</v>
      </c>
      <c r="D44" t="inlineStr">
        <is>
          <t>VÄSTRA GÖTALANDS LÄN</t>
        </is>
      </c>
      <c r="E44" t="inlineStr">
        <is>
          <t>ESSUNGA</t>
        </is>
      </c>
      <c r="G44" t="n">
        <v>7.4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13602-2021</t>
        </is>
      </c>
      <c r="B45" s="1" t="n">
        <v>44274</v>
      </c>
      <c r="C45" s="1" t="n">
        <v>45512</v>
      </c>
      <c r="D45" t="inlineStr">
        <is>
          <t>VÄSTRA GÖTALANDS LÄN</t>
        </is>
      </c>
      <c r="E45" t="inlineStr">
        <is>
          <t>ESSUNGA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14037-2021</t>
        </is>
      </c>
      <c r="B46" s="1" t="n">
        <v>44277</v>
      </c>
      <c r="C46" s="1" t="n">
        <v>45512</v>
      </c>
      <c r="D46" t="inlineStr">
        <is>
          <t>VÄSTRA GÖTALANDS LÄN</t>
        </is>
      </c>
      <c r="E46" t="inlineStr">
        <is>
          <t>ESSUNGA</t>
        </is>
      </c>
      <c r="G46" t="n">
        <v>5.1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16116-2021</t>
        </is>
      </c>
      <c r="B47" s="1" t="n">
        <v>44291</v>
      </c>
      <c r="C47" s="1" t="n">
        <v>45512</v>
      </c>
      <c r="D47" t="inlineStr">
        <is>
          <t>VÄSTRA GÖTALANDS LÄN</t>
        </is>
      </c>
      <c r="E47" t="inlineStr">
        <is>
          <t>ESSUNGA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17737-2021</t>
        </is>
      </c>
      <c r="B48" s="1" t="n">
        <v>44300</v>
      </c>
      <c r="C48" s="1" t="n">
        <v>45512</v>
      </c>
      <c r="D48" t="inlineStr">
        <is>
          <t>VÄSTRA GÖTALANDS LÄN</t>
        </is>
      </c>
      <c r="E48" t="inlineStr">
        <is>
          <t>ESSUNGA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21204-2021</t>
        </is>
      </c>
      <c r="B49" s="1" t="n">
        <v>44320</v>
      </c>
      <c r="C49" s="1" t="n">
        <v>45512</v>
      </c>
      <c r="D49" t="inlineStr">
        <is>
          <t>VÄSTRA GÖTALANDS LÄN</t>
        </is>
      </c>
      <c r="E49" t="inlineStr">
        <is>
          <t>ESSUNGA</t>
        </is>
      </c>
      <c r="F49" t="inlineStr">
        <is>
          <t>Allmännings- och besparingsskogar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22683-2021</t>
        </is>
      </c>
      <c r="B50" s="1" t="n">
        <v>44327</v>
      </c>
      <c r="C50" s="1" t="n">
        <v>45512</v>
      </c>
      <c r="D50" t="inlineStr">
        <is>
          <t>VÄSTRA GÖTALANDS LÄN</t>
        </is>
      </c>
      <c r="E50" t="inlineStr">
        <is>
          <t>ESSUNGA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24351-2021</t>
        </is>
      </c>
      <c r="B51" s="1" t="n">
        <v>44337</v>
      </c>
      <c r="C51" s="1" t="n">
        <v>45512</v>
      </c>
      <c r="D51" t="inlineStr">
        <is>
          <t>VÄSTRA GÖTALANDS LÄN</t>
        </is>
      </c>
      <c r="E51" t="inlineStr">
        <is>
          <t>ESSUNGA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24867-2021</t>
        </is>
      </c>
      <c r="B52" s="1" t="n">
        <v>44341</v>
      </c>
      <c r="C52" s="1" t="n">
        <v>45512</v>
      </c>
      <c r="D52" t="inlineStr">
        <is>
          <t>VÄSTRA GÖTALANDS LÄN</t>
        </is>
      </c>
      <c r="E52" t="inlineStr">
        <is>
          <t>ESSUNGA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26623-2021</t>
        </is>
      </c>
      <c r="B53" s="1" t="n">
        <v>44348</v>
      </c>
      <c r="C53" s="1" t="n">
        <v>45512</v>
      </c>
      <c r="D53" t="inlineStr">
        <is>
          <t>VÄSTRA GÖTALANDS LÄN</t>
        </is>
      </c>
      <c r="E53" t="inlineStr">
        <is>
          <t>ESSUNGA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33399-2021</t>
        </is>
      </c>
      <c r="B54" s="1" t="n">
        <v>44377</v>
      </c>
      <c r="C54" s="1" t="n">
        <v>45512</v>
      </c>
      <c r="D54" t="inlineStr">
        <is>
          <t>VÄSTRA GÖTALANDS LÄN</t>
        </is>
      </c>
      <c r="E54" t="inlineStr">
        <is>
          <t>ESSUNGA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33996-2021</t>
        </is>
      </c>
      <c r="B55" s="1" t="n">
        <v>44379</v>
      </c>
      <c r="C55" s="1" t="n">
        <v>45512</v>
      </c>
      <c r="D55" t="inlineStr">
        <is>
          <t>VÄSTRA GÖTALANDS LÄN</t>
        </is>
      </c>
      <c r="E55" t="inlineStr">
        <is>
          <t>ESSUNGA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35390-2021</t>
        </is>
      </c>
      <c r="B56" s="1" t="n">
        <v>44385</v>
      </c>
      <c r="C56" s="1" t="n">
        <v>45512</v>
      </c>
      <c r="D56" t="inlineStr">
        <is>
          <t>VÄSTRA GÖTALANDS LÄN</t>
        </is>
      </c>
      <c r="E56" t="inlineStr">
        <is>
          <t>ESSUNGA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37377-2021</t>
        </is>
      </c>
      <c r="B57" s="1" t="n">
        <v>44398</v>
      </c>
      <c r="C57" s="1" t="n">
        <v>45512</v>
      </c>
      <c r="D57" t="inlineStr">
        <is>
          <t>VÄSTRA GÖTALANDS LÄN</t>
        </is>
      </c>
      <c r="E57" t="inlineStr">
        <is>
          <t>ESSUNGA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37412-2021</t>
        </is>
      </c>
      <c r="B58" s="1" t="n">
        <v>44398</v>
      </c>
      <c r="C58" s="1" t="n">
        <v>45512</v>
      </c>
      <c r="D58" t="inlineStr">
        <is>
          <t>VÄSTRA GÖTALANDS LÄN</t>
        </is>
      </c>
      <c r="E58" t="inlineStr">
        <is>
          <t>ESSUNGA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38345-2021</t>
        </is>
      </c>
      <c r="B59" s="1" t="n">
        <v>44406</v>
      </c>
      <c r="C59" s="1" t="n">
        <v>45512</v>
      </c>
      <c r="D59" t="inlineStr">
        <is>
          <t>VÄSTRA GÖTALANDS LÄN</t>
        </is>
      </c>
      <c r="E59" t="inlineStr">
        <is>
          <t>ESSUNGA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54408-2021</t>
        </is>
      </c>
      <c r="B60" s="1" t="n">
        <v>44473</v>
      </c>
      <c r="C60" s="1" t="n">
        <v>45512</v>
      </c>
      <c r="D60" t="inlineStr">
        <is>
          <t>VÄSTRA GÖTALANDS LÄN</t>
        </is>
      </c>
      <c r="E60" t="inlineStr">
        <is>
          <t>ESSUNGA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54448-2021</t>
        </is>
      </c>
      <c r="B61" s="1" t="n">
        <v>44473</v>
      </c>
      <c r="C61" s="1" t="n">
        <v>45512</v>
      </c>
      <c r="D61" t="inlineStr">
        <is>
          <t>VÄSTRA GÖTALANDS LÄN</t>
        </is>
      </c>
      <c r="E61" t="inlineStr">
        <is>
          <t>ESSUNGA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54514-2021</t>
        </is>
      </c>
      <c r="B62" s="1" t="n">
        <v>44473</v>
      </c>
      <c r="C62" s="1" t="n">
        <v>45512</v>
      </c>
      <c r="D62" t="inlineStr">
        <is>
          <t>VÄSTRA GÖTALANDS LÄN</t>
        </is>
      </c>
      <c r="E62" t="inlineStr">
        <is>
          <t>ESSUNGA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54521-2021</t>
        </is>
      </c>
      <c r="B63" s="1" t="n">
        <v>44473</v>
      </c>
      <c r="C63" s="1" t="n">
        <v>45512</v>
      </c>
      <c r="D63" t="inlineStr">
        <is>
          <t>VÄSTRA GÖTALANDS LÄN</t>
        </is>
      </c>
      <c r="E63" t="inlineStr">
        <is>
          <t>ESSUNGA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56629-2021</t>
        </is>
      </c>
      <c r="B64" s="1" t="n">
        <v>44480</v>
      </c>
      <c r="C64" s="1" t="n">
        <v>45512</v>
      </c>
      <c r="D64" t="inlineStr">
        <is>
          <t>VÄSTRA GÖTALANDS LÄN</t>
        </is>
      </c>
      <c r="E64" t="inlineStr">
        <is>
          <t>ESSUNGA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61593-2021</t>
        </is>
      </c>
      <c r="B65" s="1" t="n">
        <v>44501</v>
      </c>
      <c r="C65" s="1" t="n">
        <v>45512</v>
      </c>
      <c r="D65" t="inlineStr">
        <is>
          <t>VÄSTRA GÖTALANDS LÄN</t>
        </is>
      </c>
      <c r="E65" t="inlineStr">
        <is>
          <t>ESSUNGA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62710-2021</t>
        </is>
      </c>
      <c r="B66" s="1" t="n">
        <v>44502</v>
      </c>
      <c r="C66" s="1" t="n">
        <v>45512</v>
      </c>
      <c r="D66" t="inlineStr">
        <is>
          <t>VÄSTRA GÖTALANDS LÄN</t>
        </is>
      </c>
      <c r="E66" t="inlineStr">
        <is>
          <t>ESSUNGA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62503-2021</t>
        </is>
      </c>
      <c r="B67" s="1" t="n">
        <v>44503</v>
      </c>
      <c r="C67" s="1" t="n">
        <v>45512</v>
      </c>
      <c r="D67" t="inlineStr">
        <is>
          <t>VÄSTRA GÖTALANDS LÄN</t>
        </is>
      </c>
      <c r="E67" t="inlineStr">
        <is>
          <t>ESSUNGA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62536-2021</t>
        </is>
      </c>
      <c r="B68" s="1" t="n">
        <v>44503</v>
      </c>
      <c r="C68" s="1" t="n">
        <v>45512</v>
      </c>
      <c r="D68" t="inlineStr">
        <is>
          <t>VÄSTRA GÖTALANDS LÄN</t>
        </is>
      </c>
      <c r="E68" t="inlineStr">
        <is>
          <t>ESSUNGA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62360-2021</t>
        </is>
      </c>
      <c r="B69" s="1" t="n">
        <v>44503</v>
      </c>
      <c r="C69" s="1" t="n">
        <v>45512</v>
      </c>
      <c r="D69" t="inlineStr">
        <is>
          <t>VÄSTRA GÖTALANDS LÄN</t>
        </is>
      </c>
      <c r="E69" t="inlineStr">
        <is>
          <t>ESSUNGA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62373-2021</t>
        </is>
      </c>
      <c r="B70" s="1" t="n">
        <v>44503</v>
      </c>
      <c r="C70" s="1" t="n">
        <v>45512</v>
      </c>
      <c r="D70" t="inlineStr">
        <is>
          <t>VÄSTRA GÖTALANDS LÄN</t>
        </is>
      </c>
      <c r="E70" t="inlineStr">
        <is>
          <t>ESSUNGA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66367-2021</t>
        </is>
      </c>
      <c r="B71" s="1" t="n">
        <v>44518</v>
      </c>
      <c r="C71" s="1" t="n">
        <v>45512</v>
      </c>
      <c r="D71" t="inlineStr">
        <is>
          <t>VÄSTRA GÖTALANDS LÄN</t>
        </is>
      </c>
      <c r="E71" t="inlineStr">
        <is>
          <t>ESSUNGA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72731-2021</t>
        </is>
      </c>
      <c r="B72" s="1" t="n">
        <v>44546</v>
      </c>
      <c r="C72" s="1" t="n">
        <v>45512</v>
      </c>
      <c r="D72" t="inlineStr">
        <is>
          <t>VÄSTRA GÖTALANDS LÄN</t>
        </is>
      </c>
      <c r="E72" t="inlineStr">
        <is>
          <t>ESSUNGA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7398-2022</t>
        </is>
      </c>
      <c r="B73" s="1" t="n">
        <v>44606</v>
      </c>
      <c r="C73" s="1" t="n">
        <v>45512</v>
      </c>
      <c r="D73" t="inlineStr">
        <is>
          <t>VÄSTRA GÖTALANDS LÄN</t>
        </is>
      </c>
      <c r="E73" t="inlineStr">
        <is>
          <t>ESSUNGA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9268-2022</t>
        </is>
      </c>
      <c r="B74" s="1" t="n">
        <v>44616</v>
      </c>
      <c r="C74" s="1" t="n">
        <v>45512</v>
      </c>
      <c r="D74" t="inlineStr">
        <is>
          <t>VÄSTRA GÖTALANDS LÄN</t>
        </is>
      </c>
      <c r="E74" t="inlineStr">
        <is>
          <t>ESSUNGA</t>
        </is>
      </c>
      <c r="G74" t="n">
        <v>14.7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12631-2022</t>
        </is>
      </c>
      <c r="B75" s="1" t="n">
        <v>44641</v>
      </c>
      <c r="C75" s="1" t="n">
        <v>45512</v>
      </c>
      <c r="D75" t="inlineStr">
        <is>
          <t>VÄSTRA GÖTALANDS LÄN</t>
        </is>
      </c>
      <c r="E75" t="inlineStr">
        <is>
          <t>ESSUNGA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16243-2022</t>
        </is>
      </c>
      <c r="B76" s="1" t="n">
        <v>44670</v>
      </c>
      <c r="C76" s="1" t="n">
        <v>45512</v>
      </c>
      <c r="D76" t="inlineStr">
        <is>
          <t>VÄSTRA GÖTALANDS LÄN</t>
        </is>
      </c>
      <c r="E76" t="inlineStr">
        <is>
          <t>ESSUNGA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16248-2022</t>
        </is>
      </c>
      <c r="B77" s="1" t="n">
        <v>44670</v>
      </c>
      <c r="C77" s="1" t="n">
        <v>45512</v>
      </c>
      <c r="D77" t="inlineStr">
        <is>
          <t>VÄSTRA GÖTALANDS LÄN</t>
        </is>
      </c>
      <c r="E77" t="inlineStr">
        <is>
          <t>ESSUNGA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17072-2022</t>
        </is>
      </c>
      <c r="B78" s="1" t="n">
        <v>44677</v>
      </c>
      <c r="C78" s="1" t="n">
        <v>45512</v>
      </c>
      <c r="D78" t="inlineStr">
        <is>
          <t>VÄSTRA GÖTALANDS LÄN</t>
        </is>
      </c>
      <c r="E78" t="inlineStr">
        <is>
          <t>ESSUNGA</t>
        </is>
      </c>
      <c r="F78" t="inlineStr">
        <is>
          <t>Allmännings- och besparingsskogar</t>
        </is>
      </c>
      <c r="G78" t="n">
        <v>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18394-2022</t>
        </is>
      </c>
      <c r="B79" s="1" t="n">
        <v>44686</v>
      </c>
      <c r="C79" s="1" t="n">
        <v>45512</v>
      </c>
      <c r="D79" t="inlineStr">
        <is>
          <t>VÄSTRA GÖTALANDS LÄN</t>
        </is>
      </c>
      <c r="E79" t="inlineStr">
        <is>
          <t>ESSUNGA</t>
        </is>
      </c>
      <c r="G79" t="n">
        <v>9.699999999999999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18501-2022</t>
        </is>
      </c>
      <c r="B80" s="1" t="n">
        <v>44686</v>
      </c>
      <c r="C80" s="1" t="n">
        <v>45512</v>
      </c>
      <c r="D80" t="inlineStr">
        <is>
          <t>VÄSTRA GÖTALANDS LÄN</t>
        </is>
      </c>
      <c r="E80" t="inlineStr">
        <is>
          <t>ESSUNGA</t>
        </is>
      </c>
      <c r="F80" t="inlineStr">
        <is>
          <t>Allmännings- och besparingsskogar</t>
        </is>
      </c>
      <c r="G80" t="n">
        <v>9.4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18499-2022</t>
        </is>
      </c>
      <c r="B81" s="1" t="n">
        <v>44686</v>
      </c>
      <c r="C81" s="1" t="n">
        <v>45512</v>
      </c>
      <c r="D81" t="inlineStr">
        <is>
          <t>VÄSTRA GÖTALANDS LÄN</t>
        </is>
      </c>
      <c r="E81" t="inlineStr">
        <is>
          <t>ESSUNGA</t>
        </is>
      </c>
      <c r="F81" t="inlineStr">
        <is>
          <t>Allmännings- och besparingsskogar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18510-2022</t>
        </is>
      </c>
      <c r="B82" s="1" t="n">
        <v>44686</v>
      </c>
      <c r="C82" s="1" t="n">
        <v>45512</v>
      </c>
      <c r="D82" t="inlineStr">
        <is>
          <t>VÄSTRA GÖTALANDS LÄN</t>
        </is>
      </c>
      <c r="E82" t="inlineStr">
        <is>
          <t>ESSUNGA</t>
        </is>
      </c>
      <c r="F82" t="inlineStr">
        <is>
          <t>Allmännings- och besparingsskogar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20555-2022</t>
        </is>
      </c>
      <c r="B83" s="1" t="n">
        <v>44700</v>
      </c>
      <c r="C83" s="1" t="n">
        <v>45512</v>
      </c>
      <c r="D83" t="inlineStr">
        <is>
          <t>VÄSTRA GÖTALANDS LÄN</t>
        </is>
      </c>
      <c r="E83" t="inlineStr">
        <is>
          <t>ESSUNGA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24686-2022</t>
        </is>
      </c>
      <c r="B84" s="1" t="n">
        <v>44727</v>
      </c>
      <c r="C84" s="1" t="n">
        <v>45512</v>
      </c>
      <c r="D84" t="inlineStr">
        <is>
          <t>VÄSTRA GÖTALANDS LÄN</t>
        </is>
      </c>
      <c r="E84" t="inlineStr">
        <is>
          <t>ESSUNGA</t>
        </is>
      </c>
      <c r="G84" t="n">
        <v>8.6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32914-2022</t>
        </is>
      </c>
      <c r="B85" s="1" t="n">
        <v>44784</v>
      </c>
      <c r="C85" s="1" t="n">
        <v>45512</v>
      </c>
      <c r="D85" t="inlineStr">
        <is>
          <t>VÄSTRA GÖTALANDS LÄN</t>
        </is>
      </c>
      <c r="E85" t="inlineStr">
        <is>
          <t>ESSUNGA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34702-2022</t>
        </is>
      </c>
      <c r="B86" s="1" t="n">
        <v>44795</v>
      </c>
      <c r="C86" s="1" t="n">
        <v>45512</v>
      </c>
      <c r="D86" t="inlineStr">
        <is>
          <t>VÄSTRA GÖTALANDS LÄN</t>
        </is>
      </c>
      <c r="E86" t="inlineStr">
        <is>
          <t>ESSUNGA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35848-2022</t>
        </is>
      </c>
      <c r="B87" s="1" t="n">
        <v>44802</v>
      </c>
      <c r="C87" s="1" t="n">
        <v>45512</v>
      </c>
      <c r="D87" t="inlineStr">
        <is>
          <t>VÄSTRA GÖTALANDS LÄN</t>
        </is>
      </c>
      <c r="E87" t="inlineStr">
        <is>
          <t>ESSUNGA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36603-2022</t>
        </is>
      </c>
      <c r="B88" s="1" t="n">
        <v>44804</v>
      </c>
      <c r="C88" s="1" t="n">
        <v>45512</v>
      </c>
      <c r="D88" t="inlineStr">
        <is>
          <t>VÄSTRA GÖTALANDS LÄN</t>
        </is>
      </c>
      <c r="E88" t="inlineStr">
        <is>
          <t>ESSUNGA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38037-2022</t>
        </is>
      </c>
      <c r="B89" s="1" t="n">
        <v>44811</v>
      </c>
      <c r="C89" s="1" t="n">
        <v>45512</v>
      </c>
      <c r="D89" t="inlineStr">
        <is>
          <t>VÄSTRA GÖTALANDS LÄN</t>
        </is>
      </c>
      <c r="E89" t="inlineStr">
        <is>
          <t>ESSUNGA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38040-2022</t>
        </is>
      </c>
      <c r="B90" s="1" t="n">
        <v>44811</v>
      </c>
      <c r="C90" s="1" t="n">
        <v>45512</v>
      </c>
      <c r="D90" t="inlineStr">
        <is>
          <t>VÄSTRA GÖTALANDS LÄN</t>
        </is>
      </c>
      <c r="E90" t="inlineStr">
        <is>
          <t>ESSUNGA</t>
        </is>
      </c>
      <c r="G90" t="n">
        <v>4.6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38715-2022</t>
        </is>
      </c>
      <c r="B91" s="1" t="n">
        <v>44815</v>
      </c>
      <c r="C91" s="1" t="n">
        <v>45512</v>
      </c>
      <c r="D91" t="inlineStr">
        <is>
          <t>VÄSTRA GÖTALANDS LÄN</t>
        </is>
      </c>
      <c r="E91" t="inlineStr">
        <is>
          <t>ESSUNGA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39975-2022</t>
        </is>
      </c>
      <c r="B92" s="1" t="n">
        <v>44820</v>
      </c>
      <c r="C92" s="1" t="n">
        <v>45512</v>
      </c>
      <c r="D92" t="inlineStr">
        <is>
          <t>VÄSTRA GÖTALANDS LÄN</t>
        </is>
      </c>
      <c r="E92" t="inlineStr">
        <is>
          <t>ESSUNGA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39979-2022</t>
        </is>
      </c>
      <c r="B93" s="1" t="n">
        <v>44820</v>
      </c>
      <c r="C93" s="1" t="n">
        <v>45512</v>
      </c>
      <c r="D93" t="inlineStr">
        <is>
          <t>VÄSTRA GÖTALANDS LÄN</t>
        </is>
      </c>
      <c r="E93" t="inlineStr">
        <is>
          <t>ESSUNGA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46003-2022</t>
        </is>
      </c>
      <c r="B94" s="1" t="n">
        <v>44846</v>
      </c>
      <c r="C94" s="1" t="n">
        <v>45512</v>
      </c>
      <c r="D94" t="inlineStr">
        <is>
          <t>VÄSTRA GÖTALANDS LÄN</t>
        </is>
      </c>
      <c r="E94" t="inlineStr">
        <is>
          <t>ESSUNGA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45998-2022</t>
        </is>
      </c>
      <c r="B95" s="1" t="n">
        <v>44846</v>
      </c>
      <c r="C95" s="1" t="n">
        <v>45512</v>
      </c>
      <c r="D95" t="inlineStr">
        <is>
          <t>VÄSTRA GÖTALANDS LÄN</t>
        </is>
      </c>
      <c r="E95" t="inlineStr">
        <is>
          <t>ESSUNGA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53776-2022</t>
        </is>
      </c>
      <c r="B96" s="1" t="n">
        <v>44880</v>
      </c>
      <c r="C96" s="1" t="n">
        <v>45512</v>
      </c>
      <c r="D96" t="inlineStr">
        <is>
          <t>VÄSTRA GÖTALANDS LÄN</t>
        </is>
      </c>
      <c r="E96" t="inlineStr">
        <is>
          <t>ESSUNGA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55180-2022</t>
        </is>
      </c>
      <c r="B97" s="1" t="n">
        <v>44886</v>
      </c>
      <c r="C97" s="1" t="n">
        <v>45512</v>
      </c>
      <c r="D97" t="inlineStr">
        <is>
          <t>VÄSTRA GÖTALANDS LÄN</t>
        </is>
      </c>
      <c r="E97" t="inlineStr">
        <is>
          <t>ESSUNGA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55186-2022</t>
        </is>
      </c>
      <c r="B98" s="1" t="n">
        <v>44886</v>
      </c>
      <c r="C98" s="1" t="n">
        <v>45512</v>
      </c>
      <c r="D98" t="inlineStr">
        <is>
          <t>VÄSTRA GÖTALANDS LÄN</t>
        </is>
      </c>
      <c r="E98" t="inlineStr">
        <is>
          <t>ESSUNGA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56429-2022</t>
        </is>
      </c>
      <c r="B99" s="1" t="n">
        <v>44891</v>
      </c>
      <c r="C99" s="1" t="n">
        <v>45512</v>
      </c>
      <c r="D99" t="inlineStr">
        <is>
          <t>VÄSTRA GÖTALANDS LÄN</t>
        </is>
      </c>
      <c r="E99" t="inlineStr">
        <is>
          <t>ESSUNGA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60138-2022</t>
        </is>
      </c>
      <c r="B100" s="1" t="n">
        <v>44909</v>
      </c>
      <c r="C100" s="1" t="n">
        <v>45512</v>
      </c>
      <c r="D100" t="inlineStr">
        <is>
          <t>VÄSTRA GÖTALANDS LÄN</t>
        </is>
      </c>
      <c r="E100" t="inlineStr">
        <is>
          <t>ESSUNGA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62348-2022</t>
        </is>
      </c>
      <c r="B101" s="1" t="n">
        <v>44923</v>
      </c>
      <c r="C101" s="1" t="n">
        <v>45512</v>
      </c>
      <c r="D101" t="inlineStr">
        <is>
          <t>VÄSTRA GÖTALANDS LÄN</t>
        </is>
      </c>
      <c r="E101" t="inlineStr">
        <is>
          <t>ESSUNGA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892-2023</t>
        </is>
      </c>
      <c r="B102" s="1" t="n">
        <v>44931</v>
      </c>
      <c r="C102" s="1" t="n">
        <v>45512</v>
      </c>
      <c r="D102" t="inlineStr">
        <is>
          <t>VÄSTRA GÖTALANDS LÄN</t>
        </is>
      </c>
      <c r="E102" t="inlineStr">
        <is>
          <t>ESSUNGA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7597-2023</t>
        </is>
      </c>
      <c r="B103" s="1" t="n">
        <v>44972</v>
      </c>
      <c r="C103" s="1" t="n">
        <v>45512</v>
      </c>
      <c r="D103" t="inlineStr">
        <is>
          <t>VÄSTRA GÖTALANDS LÄN</t>
        </is>
      </c>
      <c r="E103" t="inlineStr">
        <is>
          <t>ESSUNGA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7600-2023</t>
        </is>
      </c>
      <c r="B104" s="1" t="n">
        <v>44972</v>
      </c>
      <c r="C104" s="1" t="n">
        <v>45512</v>
      </c>
      <c r="D104" t="inlineStr">
        <is>
          <t>VÄSTRA GÖTALANDS LÄN</t>
        </is>
      </c>
      <c r="E104" t="inlineStr">
        <is>
          <t>ESSUNGA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7856-2023</t>
        </is>
      </c>
      <c r="B105" s="1" t="n">
        <v>44973</v>
      </c>
      <c r="C105" s="1" t="n">
        <v>45512</v>
      </c>
      <c r="D105" t="inlineStr">
        <is>
          <t>VÄSTRA GÖTALANDS LÄN</t>
        </is>
      </c>
      <c r="E105" t="inlineStr">
        <is>
          <t>ESSUNGA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10889-2023</t>
        </is>
      </c>
      <c r="B106" s="1" t="n">
        <v>44991</v>
      </c>
      <c r="C106" s="1" t="n">
        <v>45512</v>
      </c>
      <c r="D106" t="inlineStr">
        <is>
          <t>VÄSTRA GÖTALANDS LÄN</t>
        </is>
      </c>
      <c r="E106" t="inlineStr">
        <is>
          <t>ESSUNGA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11247-2023</t>
        </is>
      </c>
      <c r="B107" s="1" t="n">
        <v>44992</v>
      </c>
      <c r="C107" s="1" t="n">
        <v>45512</v>
      </c>
      <c r="D107" t="inlineStr">
        <is>
          <t>VÄSTRA GÖTALANDS LÄN</t>
        </is>
      </c>
      <c r="E107" t="inlineStr">
        <is>
          <t>ESSUNGA</t>
        </is>
      </c>
      <c r="G107" t="n">
        <v>19.7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11654-2023</t>
        </is>
      </c>
      <c r="B108" s="1" t="n">
        <v>44994</v>
      </c>
      <c r="C108" s="1" t="n">
        <v>45512</v>
      </c>
      <c r="D108" t="inlineStr">
        <is>
          <t>VÄSTRA GÖTALANDS LÄN</t>
        </is>
      </c>
      <c r="E108" t="inlineStr">
        <is>
          <t>ESSUNGA</t>
        </is>
      </c>
      <c r="G108" t="n">
        <v>11.3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13185-2023</t>
        </is>
      </c>
      <c r="B109" s="1" t="n">
        <v>45002</v>
      </c>
      <c r="C109" s="1" t="n">
        <v>45512</v>
      </c>
      <c r="D109" t="inlineStr">
        <is>
          <t>VÄSTRA GÖTALANDS LÄN</t>
        </is>
      </c>
      <c r="E109" t="inlineStr">
        <is>
          <t>ESSUNGA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13715-2023</t>
        </is>
      </c>
      <c r="B110" s="1" t="n">
        <v>45007</v>
      </c>
      <c r="C110" s="1" t="n">
        <v>45512</v>
      </c>
      <c r="D110" t="inlineStr">
        <is>
          <t>VÄSTRA GÖTALANDS LÄN</t>
        </is>
      </c>
      <c r="E110" t="inlineStr">
        <is>
          <t>ESSUNGA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13876-2023</t>
        </is>
      </c>
      <c r="B111" s="1" t="n">
        <v>45007</v>
      </c>
      <c r="C111" s="1" t="n">
        <v>45512</v>
      </c>
      <c r="D111" t="inlineStr">
        <is>
          <t>VÄSTRA GÖTALANDS LÄN</t>
        </is>
      </c>
      <c r="E111" t="inlineStr">
        <is>
          <t>ESSUNGA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16940-2023</t>
        </is>
      </c>
      <c r="B112" s="1" t="n">
        <v>45033</v>
      </c>
      <c r="C112" s="1" t="n">
        <v>45512</v>
      </c>
      <c r="D112" t="inlineStr">
        <is>
          <t>VÄSTRA GÖTALANDS LÄN</t>
        </is>
      </c>
      <c r="E112" t="inlineStr">
        <is>
          <t>ESSUNGA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19963-2023</t>
        </is>
      </c>
      <c r="B113" s="1" t="n">
        <v>45054</v>
      </c>
      <c r="C113" s="1" t="n">
        <v>45512</v>
      </c>
      <c r="D113" t="inlineStr">
        <is>
          <t>VÄSTRA GÖTALANDS LÄN</t>
        </is>
      </c>
      <c r="E113" t="inlineStr">
        <is>
          <t>ESSUNGA</t>
        </is>
      </c>
      <c r="F113" t="inlineStr">
        <is>
          <t>Allmännings- och besparingsskogar</t>
        </is>
      </c>
      <c r="G113" t="n">
        <v>7.8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20332-2023</t>
        </is>
      </c>
      <c r="B114" s="1" t="n">
        <v>45056</v>
      </c>
      <c r="C114" s="1" t="n">
        <v>45512</v>
      </c>
      <c r="D114" t="inlineStr">
        <is>
          <t>VÄSTRA GÖTALANDS LÄN</t>
        </is>
      </c>
      <c r="E114" t="inlineStr">
        <is>
          <t>ESSUNGA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21282-2023</t>
        </is>
      </c>
      <c r="B115" s="1" t="n">
        <v>45062</v>
      </c>
      <c r="C115" s="1" t="n">
        <v>45512</v>
      </c>
      <c r="D115" t="inlineStr">
        <is>
          <t>VÄSTRA GÖTALANDS LÄN</t>
        </is>
      </c>
      <c r="E115" t="inlineStr">
        <is>
          <t>ESSUNGA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21853-2023</t>
        </is>
      </c>
      <c r="B116" s="1" t="n">
        <v>45068</v>
      </c>
      <c r="C116" s="1" t="n">
        <v>45512</v>
      </c>
      <c r="D116" t="inlineStr">
        <is>
          <t>VÄSTRA GÖTALANDS LÄN</t>
        </is>
      </c>
      <c r="E116" t="inlineStr">
        <is>
          <t>ESSUNGA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27196-2023</t>
        </is>
      </c>
      <c r="B117" s="1" t="n">
        <v>45096</v>
      </c>
      <c r="C117" s="1" t="n">
        <v>45512</v>
      </c>
      <c r="D117" t="inlineStr">
        <is>
          <t>VÄSTRA GÖTALANDS LÄN</t>
        </is>
      </c>
      <c r="E117" t="inlineStr">
        <is>
          <t>ESSUNGA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33509-2023</t>
        </is>
      </c>
      <c r="B118" s="1" t="n">
        <v>45131</v>
      </c>
      <c r="C118" s="1" t="n">
        <v>45512</v>
      </c>
      <c r="D118" t="inlineStr">
        <is>
          <t>VÄSTRA GÖTALANDS LÄN</t>
        </is>
      </c>
      <c r="E118" t="inlineStr">
        <is>
          <t>ESSUNGA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33510-2023</t>
        </is>
      </c>
      <c r="B119" s="1" t="n">
        <v>45131</v>
      </c>
      <c r="C119" s="1" t="n">
        <v>45512</v>
      </c>
      <c r="D119" t="inlineStr">
        <is>
          <t>VÄSTRA GÖTALANDS LÄN</t>
        </is>
      </c>
      <c r="E119" t="inlineStr">
        <is>
          <t>ESSUNGA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33817-2023</t>
        </is>
      </c>
      <c r="B120" s="1" t="n">
        <v>45133</v>
      </c>
      <c r="C120" s="1" t="n">
        <v>45512</v>
      </c>
      <c r="D120" t="inlineStr">
        <is>
          <t>VÄSTRA GÖTALANDS LÄN</t>
        </is>
      </c>
      <c r="E120" t="inlineStr">
        <is>
          <t>ESSUNGA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44992-2023</t>
        </is>
      </c>
      <c r="B121" s="1" t="n">
        <v>45191</v>
      </c>
      <c r="C121" s="1" t="n">
        <v>45512</v>
      </c>
      <c r="D121" t="inlineStr">
        <is>
          <t>VÄSTRA GÖTALANDS LÄN</t>
        </is>
      </c>
      <c r="E121" t="inlineStr">
        <is>
          <t>ESSUNGA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47505-2023</t>
        </is>
      </c>
      <c r="B122" s="1" t="n">
        <v>45203</v>
      </c>
      <c r="C122" s="1" t="n">
        <v>45512</v>
      </c>
      <c r="D122" t="inlineStr">
        <is>
          <t>VÄSTRA GÖTALANDS LÄN</t>
        </is>
      </c>
      <c r="E122" t="inlineStr">
        <is>
          <t>ESSUNGA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54555-2023</t>
        </is>
      </c>
      <c r="B123" s="1" t="n">
        <v>45233</v>
      </c>
      <c r="C123" s="1" t="n">
        <v>45512</v>
      </c>
      <c r="D123" t="inlineStr">
        <is>
          <t>VÄSTRA GÖTALANDS LÄN</t>
        </is>
      </c>
      <c r="E123" t="inlineStr">
        <is>
          <t>ESSUNGA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55679-2023</t>
        </is>
      </c>
      <c r="B124" s="1" t="n">
        <v>45239</v>
      </c>
      <c r="C124" s="1" t="n">
        <v>45512</v>
      </c>
      <c r="D124" t="inlineStr">
        <is>
          <t>VÄSTRA GÖTALANDS LÄN</t>
        </is>
      </c>
      <c r="E124" t="inlineStr">
        <is>
          <t>ESSUNGA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59122-2023</t>
        </is>
      </c>
      <c r="B125" s="1" t="n">
        <v>45253</v>
      </c>
      <c r="C125" s="1" t="n">
        <v>45512</v>
      </c>
      <c r="D125" t="inlineStr">
        <is>
          <t>VÄSTRA GÖTALANDS LÄN</t>
        </is>
      </c>
      <c r="E125" t="inlineStr">
        <is>
          <t>ESSUNGA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59748-2023</t>
        </is>
      </c>
      <c r="B126" s="1" t="n">
        <v>45257</v>
      </c>
      <c r="C126" s="1" t="n">
        <v>45512</v>
      </c>
      <c r="D126" t="inlineStr">
        <is>
          <t>VÄSTRA GÖTALANDS LÄN</t>
        </is>
      </c>
      <c r="E126" t="inlineStr">
        <is>
          <t>ESSUNGA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64639-2023</t>
        </is>
      </c>
      <c r="B127" s="1" t="n">
        <v>45281</v>
      </c>
      <c r="C127" s="1" t="n">
        <v>45512</v>
      </c>
      <c r="D127" t="inlineStr">
        <is>
          <t>VÄSTRA GÖTALANDS LÄN</t>
        </is>
      </c>
      <c r="E127" t="inlineStr">
        <is>
          <t>ESSUNGA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64846-2023</t>
        </is>
      </c>
      <c r="B128" s="1" t="n">
        <v>45282</v>
      </c>
      <c r="C128" s="1" t="n">
        <v>45512</v>
      </c>
      <c r="D128" t="inlineStr">
        <is>
          <t>VÄSTRA GÖTALANDS LÄN</t>
        </is>
      </c>
      <c r="E128" t="inlineStr">
        <is>
          <t>ESSUNGA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64845-2023</t>
        </is>
      </c>
      <c r="B129" s="1" t="n">
        <v>45282</v>
      </c>
      <c r="C129" s="1" t="n">
        <v>45512</v>
      </c>
      <c r="D129" t="inlineStr">
        <is>
          <t>VÄSTRA GÖTALANDS LÄN</t>
        </is>
      </c>
      <c r="E129" t="inlineStr">
        <is>
          <t>ESSUNGA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64849-2023</t>
        </is>
      </c>
      <c r="B130" s="1" t="n">
        <v>45282</v>
      </c>
      <c r="C130" s="1" t="n">
        <v>45512</v>
      </c>
      <c r="D130" t="inlineStr">
        <is>
          <t>VÄSTRA GÖTALANDS LÄN</t>
        </is>
      </c>
      <c r="E130" t="inlineStr">
        <is>
          <t>ESSUNGA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3320-2024</t>
        </is>
      </c>
      <c r="B131" s="1" t="n">
        <v>45317</v>
      </c>
      <c r="C131" s="1" t="n">
        <v>45512</v>
      </c>
      <c r="D131" t="inlineStr">
        <is>
          <t>VÄSTRA GÖTALANDS LÄN</t>
        </is>
      </c>
      <c r="E131" t="inlineStr">
        <is>
          <t>ESSUNGA</t>
        </is>
      </c>
      <c r="F131" t="inlineStr">
        <is>
          <t>Kyrkan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3317-2024</t>
        </is>
      </c>
      <c r="B132" s="1" t="n">
        <v>45317</v>
      </c>
      <c r="C132" s="1" t="n">
        <v>45512</v>
      </c>
      <c r="D132" t="inlineStr">
        <is>
          <t>VÄSTRA GÖTALANDS LÄN</t>
        </is>
      </c>
      <c r="E132" t="inlineStr">
        <is>
          <t>ESSUNGA</t>
        </is>
      </c>
      <c r="F132" t="inlineStr">
        <is>
          <t>Kyrkan</t>
        </is>
      </c>
      <c r="G132" t="n">
        <v>10.2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3319-2024</t>
        </is>
      </c>
      <c r="B133" s="1" t="n">
        <v>45317</v>
      </c>
      <c r="C133" s="1" t="n">
        <v>45512</v>
      </c>
      <c r="D133" t="inlineStr">
        <is>
          <t>VÄSTRA GÖTALANDS LÄN</t>
        </is>
      </c>
      <c r="E133" t="inlineStr">
        <is>
          <t>ESSUNGA</t>
        </is>
      </c>
      <c r="F133" t="inlineStr">
        <is>
          <t>Kyrkan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3867-2024</t>
        </is>
      </c>
      <c r="B134" s="1" t="n">
        <v>45322</v>
      </c>
      <c r="C134" s="1" t="n">
        <v>45512</v>
      </c>
      <c r="D134" t="inlineStr">
        <is>
          <t>VÄSTRA GÖTALANDS LÄN</t>
        </is>
      </c>
      <c r="E134" t="inlineStr">
        <is>
          <t>ESSUNGA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3934-2024</t>
        </is>
      </c>
      <c r="B135" s="1" t="n">
        <v>45322</v>
      </c>
      <c r="C135" s="1" t="n">
        <v>45512</v>
      </c>
      <c r="D135" t="inlineStr">
        <is>
          <t>VÄSTRA GÖTALANDS LÄN</t>
        </is>
      </c>
      <c r="E135" t="inlineStr">
        <is>
          <t>ESSUNGA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3868-2024</t>
        </is>
      </c>
      <c r="B136" s="1" t="n">
        <v>45322</v>
      </c>
      <c r="C136" s="1" t="n">
        <v>45512</v>
      </c>
      <c r="D136" t="inlineStr">
        <is>
          <t>VÄSTRA GÖTALANDS LÄN</t>
        </is>
      </c>
      <c r="E136" t="inlineStr">
        <is>
          <t>ESSUNGA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4954-2024</t>
        </is>
      </c>
      <c r="B137" s="1" t="n">
        <v>45329</v>
      </c>
      <c r="C137" s="1" t="n">
        <v>45512</v>
      </c>
      <c r="D137" t="inlineStr">
        <is>
          <t>VÄSTRA GÖTALANDS LÄN</t>
        </is>
      </c>
      <c r="E137" t="inlineStr">
        <is>
          <t>ESSUNGA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6820-2024</t>
        </is>
      </c>
      <c r="B138" s="1" t="n">
        <v>45342</v>
      </c>
      <c r="C138" s="1" t="n">
        <v>45512</v>
      </c>
      <c r="D138" t="inlineStr">
        <is>
          <t>VÄSTRA GÖTALANDS LÄN</t>
        </is>
      </c>
      <c r="E138" t="inlineStr">
        <is>
          <t>ESSUNGA</t>
        </is>
      </c>
      <c r="G138" t="n">
        <v>11.8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7549-2024</t>
        </is>
      </c>
      <c r="B139" s="1" t="n">
        <v>45348</v>
      </c>
      <c r="C139" s="1" t="n">
        <v>45512</v>
      </c>
      <c r="D139" t="inlineStr">
        <is>
          <t>VÄSTRA GÖTALANDS LÄN</t>
        </is>
      </c>
      <c r="E139" t="inlineStr">
        <is>
          <t>ESSUNGA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8010-2024</t>
        </is>
      </c>
      <c r="B140" s="1" t="n">
        <v>45350</v>
      </c>
      <c r="C140" s="1" t="n">
        <v>45512</v>
      </c>
      <c r="D140" t="inlineStr">
        <is>
          <t>VÄSTRA GÖTALANDS LÄN</t>
        </is>
      </c>
      <c r="E140" t="inlineStr">
        <is>
          <t>ESSUNGA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8177-2024</t>
        </is>
      </c>
      <c r="B141" s="1" t="n">
        <v>45351</v>
      </c>
      <c r="C141" s="1" t="n">
        <v>45512</v>
      </c>
      <c r="D141" t="inlineStr">
        <is>
          <t>VÄSTRA GÖTALANDS LÄN</t>
        </is>
      </c>
      <c r="E141" t="inlineStr">
        <is>
          <t>ESSUNGA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8279-2024</t>
        </is>
      </c>
      <c r="B142" s="1" t="n">
        <v>45352</v>
      </c>
      <c r="C142" s="1" t="n">
        <v>45512</v>
      </c>
      <c r="D142" t="inlineStr">
        <is>
          <t>VÄSTRA GÖTALANDS LÄN</t>
        </is>
      </c>
      <c r="E142" t="inlineStr">
        <is>
          <t>ESSUNGA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9388-2024</t>
        </is>
      </c>
      <c r="B143" s="1" t="n">
        <v>45359</v>
      </c>
      <c r="C143" s="1" t="n">
        <v>45512</v>
      </c>
      <c r="D143" t="inlineStr">
        <is>
          <t>VÄSTRA GÖTALANDS LÄN</t>
        </is>
      </c>
      <c r="E143" t="inlineStr">
        <is>
          <t>ESSUNGA</t>
        </is>
      </c>
      <c r="G143" t="n">
        <v>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10001-2024</t>
        </is>
      </c>
      <c r="B144" s="1" t="n">
        <v>45363</v>
      </c>
      <c r="C144" s="1" t="n">
        <v>45512</v>
      </c>
      <c r="D144" t="inlineStr">
        <is>
          <t>VÄSTRA GÖTALANDS LÄN</t>
        </is>
      </c>
      <c r="E144" t="inlineStr">
        <is>
          <t>ESSUNGA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10002-2024</t>
        </is>
      </c>
      <c r="B145" s="1" t="n">
        <v>45363</v>
      </c>
      <c r="C145" s="1" t="n">
        <v>45512</v>
      </c>
      <c r="D145" t="inlineStr">
        <is>
          <t>VÄSTRA GÖTALANDS LÄN</t>
        </is>
      </c>
      <c r="E145" t="inlineStr">
        <is>
          <t>ESSUNGA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11708-2024</t>
        </is>
      </c>
      <c r="B146" s="1" t="n">
        <v>45373</v>
      </c>
      <c r="C146" s="1" t="n">
        <v>45512</v>
      </c>
      <c r="D146" t="inlineStr">
        <is>
          <t>VÄSTRA GÖTALANDS LÄN</t>
        </is>
      </c>
      <c r="E146" t="inlineStr">
        <is>
          <t>ESSUNGA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12006-2024</t>
        </is>
      </c>
      <c r="B147" s="1" t="n">
        <v>45377</v>
      </c>
      <c r="C147" s="1" t="n">
        <v>45512</v>
      </c>
      <c r="D147" t="inlineStr">
        <is>
          <t>VÄSTRA GÖTALANDS LÄN</t>
        </is>
      </c>
      <c r="E147" t="inlineStr">
        <is>
          <t>ESSUNGA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12421-2024</t>
        </is>
      </c>
      <c r="B148" s="1" t="n">
        <v>45379</v>
      </c>
      <c r="C148" s="1" t="n">
        <v>45512</v>
      </c>
      <c r="D148" t="inlineStr">
        <is>
          <t>VÄSTRA GÖTALANDS LÄN</t>
        </is>
      </c>
      <c r="E148" t="inlineStr">
        <is>
          <t>ESSUNGA</t>
        </is>
      </c>
      <c r="F148" t="inlineStr">
        <is>
          <t>Kyrkan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14223-2024</t>
        </is>
      </c>
      <c r="B149" s="1" t="n">
        <v>45393</v>
      </c>
      <c r="C149" s="1" t="n">
        <v>45512</v>
      </c>
      <c r="D149" t="inlineStr">
        <is>
          <t>VÄSTRA GÖTALANDS LÄN</t>
        </is>
      </c>
      <c r="E149" t="inlineStr">
        <is>
          <t>ESSUNGA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15306-2024</t>
        </is>
      </c>
      <c r="B150" s="1" t="n">
        <v>45400</v>
      </c>
      <c r="C150" s="1" t="n">
        <v>45512</v>
      </c>
      <c r="D150" t="inlineStr">
        <is>
          <t>VÄSTRA GÖTALANDS LÄN</t>
        </is>
      </c>
      <c r="E150" t="inlineStr">
        <is>
          <t>ESSUNGA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15552-2024</t>
        </is>
      </c>
      <c r="B151" s="1" t="n">
        <v>45401</v>
      </c>
      <c r="C151" s="1" t="n">
        <v>45512</v>
      </c>
      <c r="D151" t="inlineStr">
        <is>
          <t>VÄSTRA GÖTALANDS LÄN</t>
        </is>
      </c>
      <c r="E151" t="inlineStr">
        <is>
          <t>ESSUNGA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15785-2024</t>
        </is>
      </c>
      <c r="B152" s="1" t="n">
        <v>45404</v>
      </c>
      <c r="C152" s="1" t="n">
        <v>45512</v>
      </c>
      <c r="D152" t="inlineStr">
        <is>
          <t>VÄSTRA GÖTALANDS LÄN</t>
        </is>
      </c>
      <c r="E152" t="inlineStr">
        <is>
          <t>ESSUNGA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19946-2024</t>
        </is>
      </c>
      <c r="B153" s="1" t="n">
        <v>45433</v>
      </c>
      <c r="C153" s="1" t="n">
        <v>45512</v>
      </c>
      <c r="D153" t="inlineStr">
        <is>
          <t>VÄSTRA GÖTALANDS LÄN</t>
        </is>
      </c>
      <c r="E153" t="inlineStr">
        <is>
          <t>ESSUNGA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22279-2024</t>
        </is>
      </c>
      <c r="B154" s="1" t="n">
        <v>45446</v>
      </c>
      <c r="C154" s="1" t="n">
        <v>45512</v>
      </c>
      <c r="D154" t="inlineStr">
        <is>
          <t>VÄSTRA GÖTALANDS LÄN</t>
        </is>
      </c>
      <c r="E154" t="inlineStr">
        <is>
          <t>ESSUNGA</t>
        </is>
      </c>
      <c r="F154" t="inlineStr">
        <is>
          <t>Allmännings- och besparingsskogar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22283-2024</t>
        </is>
      </c>
      <c r="B155" s="1" t="n">
        <v>45446</v>
      </c>
      <c r="C155" s="1" t="n">
        <v>45512</v>
      </c>
      <c r="D155" t="inlineStr">
        <is>
          <t>VÄSTRA GÖTALANDS LÄN</t>
        </is>
      </c>
      <c r="E155" t="inlineStr">
        <is>
          <t>ESSUNGA</t>
        </is>
      </c>
      <c r="F155" t="inlineStr">
        <is>
          <t>Allmännings- och besparingsskogar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>
      <c r="A156" t="inlineStr">
        <is>
          <t>A 31332-2024</t>
        </is>
      </c>
      <c r="B156" s="1" t="n">
        <v>45504</v>
      </c>
      <c r="C156" s="1" t="n">
        <v>45512</v>
      </c>
      <c r="D156" t="inlineStr">
        <is>
          <t>VÄSTRA GÖTALANDS LÄN</t>
        </is>
      </c>
      <c r="E156" t="inlineStr">
        <is>
          <t>ESSUNGA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2024-08-08T10:09:23Z</dcterms:created>
  <dcterms:modified xmlns:dcterms="http://purl.org/dc/terms/" xmlns:xsi="http://www.w3.org/2001/XMLSchema-instance" xsi:type="dcterms:W3CDTF">2024-08-08T10:09:24Z</dcterms:modified>
</cp:coreProperties>
</file>