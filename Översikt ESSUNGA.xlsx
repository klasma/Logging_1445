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46196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s="1" t="n">
        <v>44891</v>
      </c>
      <c r="C3" s="1" t="n">
        <v>46196</v>
      </c>
      <c r="D3" t="inlineStr">
        <is>
          <t>VÄSTRA GÖTALANDS LÄN</t>
        </is>
      </c>
      <c r="E3" t="inlineStr">
        <is>
          <t>ESSUNGA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Blomkålssvamp</t>
        </is>
      </c>
      <c r="S3">
        <f>HYPERLINK("https://klasma.github.io/Logging_1445/artfynd/A 56429-2022 artfynd.xlsx", "A 56429-2022")</f>
        <v/>
      </c>
      <c r="T3">
        <f>HYPERLINK("https://klasma.github.io/Logging_1445/kartor/A 56429-2022 karta.png", "A 56429-2022")</f>
        <v/>
      </c>
      <c r="V3">
        <f>HYPERLINK("https://klasma.github.io/Logging_1445/klagomål/A 56429-2022 FSC-klagomål.docx", "A 56429-2022")</f>
        <v/>
      </c>
      <c r="W3">
        <f>HYPERLINK("https://klasma.github.io/Logging_1445/klagomålsmail/A 56429-2022 FSC-klagomål mail.docx", "A 56429-2022")</f>
        <v/>
      </c>
      <c r="X3">
        <f>HYPERLINK("https://klasma.github.io/Logging_1445/tillsyn/A 56429-2022 tillsynsbegäran.docx", "A 56429-2022")</f>
        <v/>
      </c>
      <c r="Y3">
        <f>HYPERLINK("https://klasma.github.io/Logging_1445/tillsynsmail/A 56429-2022 tillsynsbegäran mail.docx", "A 56429-2022")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46196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46196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46196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46196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46196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46196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46196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46196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46196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46196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46196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46196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46196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46196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24686-2022</t>
        </is>
      </c>
      <c r="B20" s="1" t="n">
        <v>44727</v>
      </c>
      <c r="C20" s="1" t="n">
        <v>46196</v>
      </c>
      <c r="D20" t="inlineStr">
        <is>
          <t>VÄSTRA GÖTALANDS LÄN</t>
        </is>
      </c>
      <c r="E20" t="inlineStr">
        <is>
          <t>ESSUNGA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32914-2022</t>
        </is>
      </c>
      <c r="B21" s="1" t="n">
        <v>44784</v>
      </c>
      <c r="C21" s="1" t="n">
        <v>46196</v>
      </c>
      <c r="D21" t="inlineStr">
        <is>
          <t>VÄSTRA GÖTALANDS LÄN</t>
        </is>
      </c>
      <c r="E21" t="inlineStr">
        <is>
          <t>ESSUNGA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3867-2024</t>
        </is>
      </c>
      <c r="B22" s="1" t="n">
        <v>45322</v>
      </c>
      <c r="C22" s="1" t="n">
        <v>46196</v>
      </c>
      <c r="D22" t="inlineStr">
        <is>
          <t>VÄSTRA GÖTALANDS LÄN</t>
        </is>
      </c>
      <c r="E22" t="inlineStr">
        <is>
          <t>ESSUNGA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3868-2024</t>
        </is>
      </c>
      <c r="B23" s="1" t="n">
        <v>45322</v>
      </c>
      <c r="C23" s="1" t="n">
        <v>46196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51380-2025</t>
        </is>
      </c>
      <c r="B24" s="1" t="n">
        <v>45950</v>
      </c>
      <c r="C24" s="1" t="n">
        <v>46196</v>
      </c>
      <c r="D24" t="inlineStr">
        <is>
          <t>VÄSTRA GÖTALANDS LÄN</t>
        </is>
      </c>
      <c r="E24" t="inlineStr">
        <is>
          <t>ESSUNGA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20332-2023</t>
        </is>
      </c>
      <c r="B25" s="1" t="n">
        <v>45056</v>
      </c>
      <c r="C25" s="1" t="n">
        <v>46196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38794-2025</t>
        </is>
      </c>
      <c r="B26" s="1" t="n">
        <v>45887</v>
      </c>
      <c r="C26" s="1" t="n">
        <v>46196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10164-2025</t>
        </is>
      </c>
      <c r="B27" s="1" t="n">
        <v>45719</v>
      </c>
      <c r="C27" s="1" t="n">
        <v>46196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9374-2025</t>
        </is>
      </c>
      <c r="B28" s="1" t="n">
        <v>45715</v>
      </c>
      <c r="C28" s="1" t="n">
        <v>46196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39498-2025</t>
        </is>
      </c>
      <c r="B29" s="1" t="n">
        <v>45890</v>
      </c>
      <c r="C29" s="1" t="n">
        <v>46196</v>
      </c>
      <c r="D29" t="inlineStr">
        <is>
          <t>VÄSTRA GÖTALANDS LÄN</t>
        </is>
      </c>
      <c r="E29" t="inlineStr">
        <is>
          <t>ESSUNGA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</v>
      </c>
      <c r="C30" s="1" t="n">
        <v>46196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41022-2025</t>
        </is>
      </c>
      <c r="B31" s="1" t="n">
        <v>45898</v>
      </c>
      <c r="C31" s="1" t="n">
        <v>46196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57160-2025</t>
        </is>
      </c>
      <c r="B32" s="1" t="n">
        <v>45979</v>
      </c>
      <c r="C32" s="1" t="n">
        <v>46196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57161-2025</t>
        </is>
      </c>
      <c r="B33" s="1" t="n">
        <v>45979</v>
      </c>
      <c r="C33" s="1" t="n">
        <v>46196</v>
      </c>
      <c r="D33" t="inlineStr">
        <is>
          <t>VÄSTRA GÖTALANDS LÄN</t>
        </is>
      </c>
      <c r="E33" t="inlineStr">
        <is>
          <t>ESSUNGA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50364-2024</t>
        </is>
      </c>
      <c r="B34" s="1" t="n">
        <v>45600</v>
      </c>
      <c r="C34" s="1" t="n">
        <v>46196</v>
      </c>
      <c r="D34" t="inlineStr">
        <is>
          <t>VÄSTRA GÖTALANDS LÄN</t>
        </is>
      </c>
      <c r="E34" t="inlineStr">
        <is>
          <t>ESSUNGA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57280-2024</t>
        </is>
      </c>
      <c r="B35" s="1" t="n">
        <v>45629</v>
      </c>
      <c r="C35" s="1" t="n">
        <v>46196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9375-2025</t>
        </is>
      </c>
      <c r="B36" s="1" t="n">
        <v>45715</v>
      </c>
      <c r="C36" s="1" t="n">
        <v>46196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45223-2025</t>
        </is>
      </c>
      <c r="B37" s="1" t="n">
        <v>45919</v>
      </c>
      <c r="C37" s="1" t="n">
        <v>46196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10690-2025</t>
        </is>
      </c>
      <c r="B38" s="1" t="n">
        <v>45722</v>
      </c>
      <c r="C38" s="1" t="n">
        <v>46196</v>
      </c>
      <c r="D38" t="inlineStr">
        <is>
          <t>VÄSTRA GÖTALANDS LÄN</t>
        </is>
      </c>
      <c r="E38" t="inlineStr">
        <is>
          <t>ESSUNGA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12006-2024</t>
        </is>
      </c>
      <c r="B39" s="1" t="n">
        <v>45377</v>
      </c>
      <c r="C39" s="1" t="n">
        <v>46196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22279-2024</t>
        </is>
      </c>
      <c r="B40" s="1" t="n">
        <v>45446</v>
      </c>
      <c r="C40" s="1" t="n">
        <v>46196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46575-2025</t>
        </is>
      </c>
      <c r="B41" s="1" t="n">
        <v>45926</v>
      </c>
      <c r="C41" s="1" t="n">
        <v>46196</v>
      </c>
      <c r="D41" t="inlineStr">
        <is>
          <t>VÄSTRA GÖTALANDS LÄN</t>
        </is>
      </c>
      <c r="E41" t="inlineStr">
        <is>
          <t>ESSUNGA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62737-2025</t>
        </is>
      </c>
      <c r="B42" s="1" t="n">
        <v>46008</v>
      </c>
      <c r="C42" s="1" t="n">
        <v>46196</v>
      </c>
      <c r="D42" t="inlineStr">
        <is>
          <t>VÄSTRA GÖTALANDS LÄN</t>
        </is>
      </c>
      <c r="E42" t="inlineStr">
        <is>
          <t>ESSUNGA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49693-2025</t>
        </is>
      </c>
      <c r="B43" s="1" t="n">
        <v>45939</v>
      </c>
      <c r="C43" s="1" t="n">
        <v>46196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10161-2025</t>
        </is>
      </c>
      <c r="B44" s="1" t="n">
        <v>45719</v>
      </c>
      <c r="C44" s="1" t="n">
        <v>46196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32176-2025</t>
        </is>
      </c>
      <c r="B45" s="1" t="n">
        <v>45835</v>
      </c>
      <c r="C45" s="1" t="n">
        <v>46196</v>
      </c>
      <c r="D45" t="inlineStr">
        <is>
          <t>VÄSTRA GÖTALANDS LÄN</t>
        </is>
      </c>
      <c r="E45" t="inlineStr">
        <is>
          <t>ESSUNGA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32615-2025</t>
        </is>
      </c>
      <c r="B46" s="1" t="n">
        <v>45838</v>
      </c>
      <c r="C46" s="1" t="n">
        <v>46196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16248-2022</t>
        </is>
      </c>
      <c r="B47" s="1" t="n">
        <v>44670</v>
      </c>
      <c r="C47" s="1" t="n">
        <v>46196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8672-2026</t>
        </is>
      </c>
      <c r="B48" s="1" t="n">
        <v>46066</v>
      </c>
      <c r="C48" s="1" t="n">
        <v>46196</v>
      </c>
      <c r="D48" t="inlineStr">
        <is>
          <t>VÄSTRA GÖTALANDS LÄN</t>
        </is>
      </c>
      <c r="E48" t="inlineStr">
        <is>
          <t>ESSUNGA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9531-2026</t>
        </is>
      </c>
      <c r="B49" s="1" t="n">
        <v>46071</v>
      </c>
      <c r="C49" s="1" t="n">
        <v>46196</v>
      </c>
      <c r="D49" t="inlineStr">
        <is>
          <t>VÄSTRA GÖTALANDS LÄN</t>
        </is>
      </c>
      <c r="E49" t="inlineStr">
        <is>
          <t>ESSUNGA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12203-2026</t>
        </is>
      </c>
      <c r="B50" s="1" t="n">
        <v>46087</v>
      </c>
      <c r="C50" s="1" t="n">
        <v>46196</v>
      </c>
      <c r="D50" t="inlineStr">
        <is>
          <t>VÄSTRA GÖTALANDS LÄN</t>
        </is>
      </c>
      <c r="E50" t="inlineStr">
        <is>
          <t>ESSUNGA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64639-2023</t>
        </is>
      </c>
      <c r="B51" s="1" t="n">
        <v>45281</v>
      </c>
      <c r="C51" s="1" t="n">
        <v>46196</v>
      </c>
      <c r="D51" t="inlineStr">
        <is>
          <t>VÄSTRA GÖTALANDS LÄN</t>
        </is>
      </c>
      <c r="E51" t="inlineStr">
        <is>
          <t>ESSUNGA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3317-2024</t>
        </is>
      </c>
      <c r="B52" s="1" t="n">
        <v>45317</v>
      </c>
      <c r="C52" s="1" t="n">
        <v>46196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892-2023</t>
        </is>
      </c>
      <c r="B53" s="1" t="n">
        <v>44931</v>
      </c>
      <c r="C53" s="1" t="n">
        <v>46196</v>
      </c>
      <c r="D53" t="inlineStr">
        <is>
          <t>VÄSTRA GÖTALANDS LÄN</t>
        </is>
      </c>
      <c r="E53" t="inlineStr">
        <is>
          <t>ESSUNGA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13737-2026</t>
        </is>
      </c>
      <c r="B54" s="1" t="n">
        <v>46097</v>
      </c>
      <c r="C54" s="1" t="n">
        <v>46196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8177-2024</t>
        </is>
      </c>
      <c r="B55" s="1" t="n">
        <v>45351</v>
      </c>
      <c r="C55" s="1" t="n">
        <v>46196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37774-2024</t>
        </is>
      </c>
      <c r="B56" s="1" t="n">
        <v>45542</v>
      </c>
      <c r="C56" s="1" t="n">
        <v>46196</v>
      </c>
      <c r="D56" t="inlineStr">
        <is>
          <t>VÄSTRA GÖTALANDS LÄN</t>
        </is>
      </c>
      <c r="E56" t="inlineStr">
        <is>
          <t>ESSUNGA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15661-2026</t>
        </is>
      </c>
      <c r="B57" s="1" t="n">
        <v>46106</v>
      </c>
      <c r="C57" s="1" t="n">
        <v>46196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17386-2026</t>
        </is>
      </c>
      <c r="B58" s="1" t="n">
        <v>46119</v>
      </c>
      <c r="C58" s="1" t="n">
        <v>46196</v>
      </c>
      <c r="D58" t="inlineStr">
        <is>
          <t>VÄSTRA GÖTALANDS LÄN</t>
        </is>
      </c>
      <c r="E58" t="inlineStr">
        <is>
          <t>ESSUNGA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17412-2026</t>
        </is>
      </c>
      <c r="B59" s="1" t="n">
        <v>46120</v>
      </c>
      <c r="C59" s="1" t="n">
        <v>46196</v>
      </c>
      <c r="D59" t="inlineStr">
        <is>
          <t>VÄSTRA GÖTALANDS LÄN</t>
        </is>
      </c>
      <c r="E59" t="inlineStr">
        <is>
          <t>ESSUNGA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24876-2026</t>
        </is>
      </c>
      <c r="B60" s="1" t="n">
        <v>46174</v>
      </c>
      <c r="C60" s="1" t="n">
        <v>46196</v>
      </c>
      <c r="D60" t="inlineStr">
        <is>
          <t>VÄSTRA GÖTALANDS LÄN</t>
        </is>
      </c>
      <c r="E60" t="inlineStr">
        <is>
          <t>ESSUNGA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38243-2024</t>
        </is>
      </c>
      <c r="B61" s="1" t="n">
        <v>45545</v>
      </c>
      <c r="C61" s="1" t="n">
        <v>46196</v>
      </c>
      <c r="D61" t="inlineStr">
        <is>
          <t>VÄSTRA GÖTALANDS LÄN</t>
        </is>
      </c>
      <c r="E61" t="inlineStr">
        <is>
          <t>ESSUNGA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38800-2025</t>
        </is>
      </c>
      <c r="B62" s="1" t="n">
        <v>45887</v>
      </c>
      <c r="C62" s="1" t="n">
        <v>46196</v>
      </c>
      <c r="D62" t="inlineStr">
        <is>
          <t>VÄSTRA GÖTALANDS LÄN</t>
        </is>
      </c>
      <c r="E62" t="inlineStr">
        <is>
          <t>ESSUNGA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21294-2026</t>
        </is>
      </c>
      <c r="B63" s="1" t="n">
        <v>46147</v>
      </c>
      <c r="C63" s="1" t="n">
        <v>46196</v>
      </c>
      <c r="D63" t="inlineStr">
        <is>
          <t>VÄSTRA GÖTALANDS LÄN</t>
        </is>
      </c>
      <c r="E63" t="inlineStr">
        <is>
          <t>ESSUNGA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54514-2021</t>
        </is>
      </c>
      <c r="B64" s="1" t="n">
        <v>44473</v>
      </c>
      <c r="C64" s="1" t="n">
        <v>46196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54555-2023</t>
        </is>
      </c>
      <c r="B65" s="1" t="n">
        <v>45233</v>
      </c>
      <c r="C65" s="1" t="n">
        <v>46196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3320-2024</t>
        </is>
      </c>
      <c r="B66" s="1" t="n">
        <v>45317</v>
      </c>
      <c r="C66" s="1" t="n">
        <v>46196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15552-2024</t>
        </is>
      </c>
      <c r="B67" s="1" t="n">
        <v>45401</v>
      </c>
      <c r="C67" s="1" t="n">
        <v>46196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44992-2023</t>
        </is>
      </c>
      <c r="B68" s="1" t="n">
        <v>45190</v>
      </c>
      <c r="C68" s="1" t="n">
        <v>46196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10889-2023</t>
        </is>
      </c>
      <c r="B69" s="1" t="n">
        <v>44991</v>
      </c>
      <c r="C69" s="1" t="n">
        <v>46196</v>
      </c>
      <c r="D69" t="inlineStr">
        <is>
          <t>VÄSTRA GÖTALANDS LÄN</t>
        </is>
      </c>
      <c r="E69" t="inlineStr">
        <is>
          <t>ESSUNGA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34702-2022</t>
        </is>
      </c>
      <c r="B70" s="1" t="n">
        <v>44795</v>
      </c>
      <c r="C70" s="1" t="n">
        <v>46196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19946-2024</t>
        </is>
      </c>
      <c r="B71" s="1" t="n">
        <v>45433</v>
      </c>
      <c r="C71" s="1" t="n">
        <v>46196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36603-2022</t>
        </is>
      </c>
      <c r="B72" s="1" t="n">
        <v>44804</v>
      </c>
      <c r="C72" s="1" t="n">
        <v>46196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</v>
      </c>
      <c r="C73" s="1" t="n">
        <v>46196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62122-2024</t>
        </is>
      </c>
      <c r="B74" s="1" t="n">
        <v>45656</v>
      </c>
      <c r="C74" s="1" t="n">
        <v>46196</v>
      </c>
      <c r="D74" t="inlineStr">
        <is>
          <t>VÄSTRA GÖTALANDS LÄN</t>
        </is>
      </c>
      <c r="E74" t="inlineStr">
        <is>
          <t>ESSUNGA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33510-2023</t>
        </is>
      </c>
      <c r="B75" s="1" t="n">
        <v>45131</v>
      </c>
      <c r="C75" s="1" t="n">
        <v>46196</v>
      </c>
      <c r="D75" t="inlineStr">
        <is>
          <t>VÄSTRA GÖTALANDS LÄN</t>
        </is>
      </c>
      <c r="E75" t="inlineStr">
        <is>
          <t>ESSUNGA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64846-2023</t>
        </is>
      </c>
      <c r="B76" s="1" t="n">
        <v>45282</v>
      </c>
      <c r="C76" s="1" t="n">
        <v>46196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16145-2025</t>
        </is>
      </c>
      <c r="B77" s="1" t="n">
        <v>45750</v>
      </c>
      <c r="C77" s="1" t="n">
        <v>46196</v>
      </c>
      <c r="D77" t="inlineStr">
        <is>
          <t>VÄSTRA GÖTALANDS LÄN</t>
        </is>
      </c>
      <c r="E77" t="inlineStr">
        <is>
          <t>ESSUNGA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15306-2024</t>
        </is>
      </c>
      <c r="B78" s="1" t="n">
        <v>45400</v>
      </c>
      <c r="C78" s="1" t="n">
        <v>46196</v>
      </c>
      <c r="D78" t="inlineStr">
        <is>
          <t>VÄSTRA GÖTALANDS LÄN</t>
        </is>
      </c>
      <c r="E78" t="inlineStr">
        <is>
          <t>ESSUNGA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33817-2023</t>
        </is>
      </c>
      <c r="B79" s="1" t="n">
        <v>45133</v>
      </c>
      <c r="C79" s="1" t="n">
        <v>46196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56629-2021</t>
        </is>
      </c>
      <c r="B80" s="1" t="n">
        <v>44480</v>
      </c>
      <c r="C80" s="1" t="n">
        <v>46196</v>
      </c>
      <c r="D80" t="inlineStr">
        <is>
          <t>VÄSTRA GÖTALANDS LÄN</t>
        </is>
      </c>
      <c r="E80" t="inlineStr">
        <is>
          <t>ESSUNGA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60768-2024</t>
        </is>
      </c>
      <c r="B81" s="1" t="n">
        <v>45644</v>
      </c>
      <c r="C81" s="1" t="n">
        <v>46196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54408-2021</t>
        </is>
      </c>
      <c r="B82" s="1" t="n">
        <v>44473</v>
      </c>
      <c r="C82" s="1" t="n">
        <v>46196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12421-2024</t>
        </is>
      </c>
      <c r="B83" s="1" t="n">
        <v>45379</v>
      </c>
      <c r="C83" s="1" t="n">
        <v>46196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20555-2022</t>
        </is>
      </c>
      <c r="B84" s="1" t="n">
        <v>44700</v>
      </c>
      <c r="C84" s="1" t="n">
        <v>46196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</v>
      </c>
      <c r="C85" s="1" t="n">
        <v>46196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</v>
      </c>
      <c r="C86" s="1" t="n">
        <v>46196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37625-2024</t>
        </is>
      </c>
      <c r="B87" s="1" t="n">
        <v>45541</v>
      </c>
      <c r="C87" s="1" t="n">
        <v>46196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38715-2022</t>
        </is>
      </c>
      <c r="B88" s="1" t="n">
        <v>44815</v>
      </c>
      <c r="C88" s="1" t="n">
        <v>46196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4954-2024</t>
        </is>
      </c>
      <c r="B89" s="1" t="n">
        <v>45329</v>
      </c>
      <c r="C89" s="1" t="n">
        <v>46196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39678-2021</t>
        </is>
      </c>
      <c r="B90" s="1" t="n">
        <v>44417</v>
      </c>
      <c r="C90" s="1" t="n">
        <v>46196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46196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13876-2023</t>
        </is>
      </c>
      <c r="B92" s="1" t="n">
        <v>45007</v>
      </c>
      <c r="C92" s="1" t="n">
        <v>46196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50366-2024</t>
        </is>
      </c>
      <c r="B93" s="1" t="n">
        <v>45600</v>
      </c>
      <c r="C93" s="1" t="n">
        <v>46196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2026-06-23T04:32:15Z</dcterms:created>
  <dcterms:modified xmlns:dcterms="http://purl.org/dc/terms/" xmlns:xsi="http://www.w3.org/2001/XMLSchema-instance" xsi:type="dcterms:W3CDTF">2026-06-23T04:32:15Z</dcterms:modified>
</cp:coreProperties>
</file>