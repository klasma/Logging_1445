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46313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3563-2024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46313</v>
      </c>
      <c r="F4" t="inlineStr">
        <is>
          <t>VÄSTRA GÖTALANDS LÄN</t>
        </is>
      </c>
      <c r="G4" t="inlineStr">
        <is>
          <t>ESSUNGA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3</v>
      </c>
      <c r="U4" t="n">
        <v>0</v>
      </c>
      <c r="V4" s="2" t="inlineStr">
        <is>
          <t>Revlummer</t>
        </is>
      </c>
      <c r="W4">
        <f>HYPERLINK("https://klasma.github.io/Logging_1445/artfynd/A 3563-2024 artfynd.xlsx", "A 3563-2024")</f>
        <v/>
      </c>
      <c r="X4">
        <f>HYPERLINK("https://klasma.github.io/Logging_1445/kartor/A 3563-2024 karta.png", "A 3563-2024")</f>
        <v/>
      </c>
      <c r="Y4">
        <f>HYPERLINK("https://klasma.github.io/Logging_1445/kartor_geotiff/A 3563-2024 georefererad karta.tif", "A 3563-2024")</f>
        <v/>
      </c>
      <c r="AA4">
        <f>HYPERLINK("https://klasma.github.io/Logging_1445/klagomål/A 3563-2024 FSC-klagomål.docx", "A 3563-2024")</f>
        <v/>
      </c>
      <c r="AB4">
        <f>HYPERLINK("https://klasma.github.io/Logging_1445/klagomålsmail/A 3563-2024 FSC-klagomål mail.docx", "A 3563-2024")</f>
        <v/>
      </c>
      <c r="AC4">
        <f>HYPERLINK("https://klasma.github.io/Logging_1445/tillsyn/A 3563-2024 tillsynsbegäran.docx", "A 3563-2024")</f>
        <v/>
      </c>
      <c r="AD4">
        <f>HYPERLINK("https://klasma.github.io/Logging_1445/tillsynsmail/A 3563-2024 tillsynsbegäran mail.docx", "A 3563-2024")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46313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46313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46313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46313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46313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46313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46313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32914-2022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46313</v>
      </c>
      <c r="F14" t="inlineStr">
        <is>
          <t>VÄSTRA GÖTALANDS LÄN</t>
        </is>
      </c>
      <c r="G14" t="inlineStr">
        <is>
          <t>ESSUNGA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46313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46313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46313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46313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46313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16248-2022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44670</v>
      </c>
      <c r="E20" s="1" t="n">
        <v>46313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64639-2023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46313</v>
      </c>
      <c r="F21" t="inlineStr">
        <is>
          <t>VÄSTRA GÖTALANDS LÄN</t>
        </is>
      </c>
      <c r="G21" t="inlineStr">
        <is>
          <t>ESSUNGA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46313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44931</v>
      </c>
      <c r="E23" s="1" t="n">
        <v>46313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46313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45542</v>
      </c>
      <c r="E25" s="1" t="n">
        <v>46313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46313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45233</v>
      </c>
      <c r="E27" s="1" t="n">
        <v>46313</v>
      </c>
      <c r="F27" t="inlineStr">
        <is>
          <t>VÄSTRA GÖTALANDS LÄN</t>
        </is>
      </c>
      <c r="G27" t="inlineStr">
        <is>
          <t>ESSUNGA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46313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Kyrkan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46313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46313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21294-2026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46313</v>
      </c>
      <c r="F31" t="inlineStr">
        <is>
          <t>VÄSTRA GÖTALANDS LÄN</t>
        </is>
      </c>
      <c r="G31" t="inlineStr">
        <is>
          <t>ESSUNGA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46313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46313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46313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46313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46313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46313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46313</v>
      </c>
      <c r="F38" t="inlineStr">
        <is>
          <t>VÄSTRA GÖTALANDS LÄN</t>
        </is>
      </c>
      <c r="G38" t="inlineStr">
        <is>
          <t>ESSUNGA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46313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46313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46313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62373-2021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46313</v>
      </c>
      <c r="F42" t="inlineStr">
        <is>
          <t>VÄSTRA GÖTALANDS LÄN</t>
        </is>
      </c>
      <c r="G42" t="inlineStr">
        <is>
          <t>ESSUNGA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45656</v>
      </c>
      <c r="E43" s="1" t="n">
        <v>46313</v>
      </c>
      <c r="F43" t="inlineStr">
        <is>
          <t>VÄSTRA GÖTALANDS LÄN</t>
        </is>
      </c>
      <c r="G43" t="inlineStr">
        <is>
          <t>ESSUNGA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46313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46313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46313</v>
      </c>
      <c r="F46" t="inlineStr">
        <is>
          <t>VÄSTRA GÖTALANDS LÄN</t>
        </is>
      </c>
      <c r="G46" t="inlineStr">
        <is>
          <t>ESSUNGA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45131</v>
      </c>
      <c r="E47" s="1" t="n">
        <v>46313</v>
      </c>
      <c r="F47" t="inlineStr">
        <is>
          <t>VÄSTRA GÖTALANDS LÄN</t>
        </is>
      </c>
      <c r="G47" t="inlineStr">
        <is>
          <t>ESSUNGA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46313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46313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46313</v>
      </c>
      <c r="F50" t="inlineStr">
        <is>
          <t>VÄSTRA GÖTALANDS LÄN</t>
        </is>
      </c>
      <c r="G50" t="inlineStr">
        <is>
          <t>ESSUNGA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46313</v>
      </c>
      <c r="F51" t="inlineStr">
        <is>
          <t>VÄSTRA GÖTALANDS LÄN</t>
        </is>
      </c>
      <c r="G51" t="inlineStr">
        <is>
          <t>ESSUNGA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46313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46313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46313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46313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46313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46313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46313</v>
      </c>
      <c r="F58" t="inlineStr">
        <is>
          <t>VÄSTRA GÖTALANDS LÄN</t>
        </is>
      </c>
      <c r="G58" t="inlineStr">
        <is>
          <t>ESSUNGA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45644</v>
      </c>
      <c r="E59" s="1" t="n">
        <v>46313</v>
      </c>
      <c r="F59" t="inlineStr">
        <is>
          <t>VÄSTRA GÖTALANDS LÄN</t>
        </is>
      </c>
      <c r="G59" t="inlineStr">
        <is>
          <t>ESSUNGA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46313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46313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44700</v>
      </c>
      <c r="E62" s="1" t="n">
        <v>46313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17072-2022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44677</v>
      </c>
      <c r="E63" s="1" t="n">
        <v>46313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46313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46313</v>
      </c>
      <c r="F65" t="inlineStr">
        <is>
          <t>VÄSTRA GÖTALANDS LÄN</t>
        </is>
      </c>
      <c r="G65" t="inlineStr">
        <is>
          <t>ESSUNGA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46313</v>
      </c>
      <c r="F66" t="inlineStr">
        <is>
          <t>VÄSTRA GÖTALANDS LÄN</t>
        </is>
      </c>
      <c r="G66" t="inlineStr">
        <is>
          <t>ESSUNGA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46313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44815</v>
      </c>
      <c r="E68" s="1" t="n">
        <v>46313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46313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46313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46313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46313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46313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46313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46313</v>
      </c>
      <c r="F75" t="inlineStr">
        <is>
          <t>VÄSTRA GÖTALANDS LÄN</t>
        </is>
      </c>
      <c r="G75" t="inlineStr">
        <is>
          <t>ESSUNGA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46313</v>
      </c>
      <c r="F76" t="inlineStr">
        <is>
          <t>VÄSTRA GÖTALANDS LÄN</t>
        </is>
      </c>
      <c r="G76" t="inlineStr">
        <is>
          <t>ESSUNGA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46313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46313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46313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46308</v>
      </c>
      <c r="E80" s="1" t="n">
        <v>46313</v>
      </c>
      <c r="F80" t="inlineStr">
        <is>
          <t>VÄSTRA GÖTALANDS LÄN</t>
        </is>
      </c>
      <c r="G80" t="inlineStr">
        <is>
          <t>ESSUNGA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46313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46313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46313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46313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46313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2026-10-18T08:03:37Z</dcterms:created>
  <dcterms:modified xmlns:dcterms="http://purl.org/dc/terms/" xmlns:xsi="http://www.w3.org/2001/XMLSchema-instance" xsi:type="dcterms:W3CDTF">2026-10-18T08:03:37Z</dcterms:modified>
</cp:coreProperties>
</file>