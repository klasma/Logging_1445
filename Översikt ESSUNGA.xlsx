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46222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Blomkålssvamp</t>
        </is>
      </c>
      <c r="V2">
        <f>HYPERLINK("https://klasma.github.io/Logging_1445/artfynd/A 56429-2022 artfynd.xlsx", "A 56429-2022")</f>
        <v/>
      </c>
      <c r="W2">
        <f>HYPERLINK("https://klasma.github.io/Logging_1445/kartor/A 56429-2022 karta.png", "A 56429-2022")</f>
        <v/>
      </c>
      <c r="Y2">
        <f>HYPERLINK("https://klasma.github.io/Logging_1445/klagomål/A 56429-2022 FSC-klagomål.docx", "A 56429-2022")</f>
        <v/>
      </c>
      <c r="Z2">
        <f>HYPERLINK("https://klasma.github.io/Logging_1445/klagomålsmail/A 56429-2022 FSC-klagomål mail.docx", "A 56429-2022")</f>
        <v/>
      </c>
      <c r="AA2">
        <f>HYPERLINK("https://klasma.github.io/Logging_1445/tillsyn/A 56429-2022 tillsynsbegäran.docx", "A 56429-2022")</f>
        <v/>
      </c>
      <c r="AB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46222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s="2" t="inlineStr">
        <is>
          <t>Revlummer</t>
        </is>
      </c>
      <c r="V3">
        <f>HYPERLINK("https://klasma.github.io/Logging_1445/artfynd/A 3563-2024 artfynd.xlsx", "A 3563-2024")</f>
        <v/>
      </c>
      <c r="W3">
        <f>HYPERLINK("https://klasma.github.io/Logging_1445/kartor/A 3563-2024 karta.png", "A 3563-2024")</f>
        <v/>
      </c>
      <c r="Y3">
        <f>HYPERLINK("https://klasma.github.io/Logging_1445/klagomål/A 3563-2024 FSC-klagomål.docx", "A 3563-2024")</f>
        <v/>
      </c>
      <c r="Z3">
        <f>HYPERLINK("https://klasma.github.io/Logging_1445/klagomålsmail/A 3563-2024 FSC-klagomål mail.docx", "A 3563-2024")</f>
        <v/>
      </c>
      <c r="AA3">
        <f>HYPERLINK("https://klasma.github.io/Logging_1445/tillsyn/A 3563-2024 tillsynsbegäran.docx", "A 3563-2024")</f>
        <v/>
      </c>
      <c r="AB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37412-2021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44398</v>
      </c>
      <c r="E6" s="1" t="n">
        <v>46222</v>
      </c>
      <c r="F6" t="inlineStr">
        <is>
          <t>VÄSTRA GÖTALANDS LÄN</t>
        </is>
      </c>
      <c r="G6" t="inlineStr">
        <is>
          <t>ESSUNGA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38345-2021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44406</v>
      </c>
      <c r="E7" s="1" t="n">
        <v>46222</v>
      </c>
      <c r="F7" t="inlineStr">
        <is>
          <t>VÄSTRA GÖTALANDS LÄN</t>
        </is>
      </c>
      <c r="G7" t="inlineStr">
        <is>
          <t>ESSUNGA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54448-2021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46222</v>
      </c>
      <c r="F8" t="inlineStr">
        <is>
          <t>VÄSTRA GÖTALANDS LÄN</t>
        </is>
      </c>
      <c r="G8" t="inlineStr">
        <is>
          <t>ESSUNGA</t>
        </is>
      </c>
      <c r="I8" t="n">
        <v>1.7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12631-2022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44641</v>
      </c>
      <c r="E9" s="1" t="n">
        <v>46222</v>
      </c>
      <c r="F9" t="inlineStr">
        <is>
          <t>VÄSTRA GÖTALANDS LÄN</t>
        </is>
      </c>
      <c r="G9" t="inlineStr">
        <is>
          <t>ESSUNGA</t>
        </is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62536-2021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46222</v>
      </c>
      <c r="F10" t="inlineStr">
        <is>
          <t>VÄSTRA GÖTALANDS LÄN</t>
        </is>
      </c>
      <c r="G10" t="inlineStr">
        <is>
          <t>ESSUNGA</t>
        </is>
      </c>
      <c r="I10" t="n">
        <v>5.1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54521-2021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46222</v>
      </c>
      <c r="F11" t="inlineStr">
        <is>
          <t>VÄSTRA GÖTALANDS LÄN</t>
        </is>
      </c>
      <c r="G11" t="inlineStr">
        <is>
          <t>ESSUNGA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37377-2021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44398</v>
      </c>
      <c r="E12" s="1" t="n">
        <v>46222</v>
      </c>
      <c r="F12" t="inlineStr">
        <is>
          <t>VÄSTRA GÖTALANDS LÄN</t>
        </is>
      </c>
      <c r="G12" t="inlineStr">
        <is>
          <t>ESSUNGA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62503-2021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46222</v>
      </c>
      <c r="F13" t="inlineStr">
        <is>
          <t>VÄSTRA GÖTALANDS LÄN</t>
        </is>
      </c>
      <c r="G13" t="inlineStr">
        <is>
          <t>ESSUNGA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18394-2022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46222</v>
      </c>
      <c r="F14" t="inlineStr">
        <is>
          <t>VÄSTRA GÖTALANDS LÄN</t>
        </is>
      </c>
      <c r="G14" t="inlineStr">
        <is>
          <t>ESSUNGA</t>
        </is>
      </c>
      <c r="I14" t="n">
        <v>9.699999999999999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62710-2021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44502</v>
      </c>
      <c r="E15" s="1" t="n">
        <v>46222</v>
      </c>
      <c r="F15" t="inlineStr">
        <is>
          <t>VÄSTRA GÖTALANDS LÄN</t>
        </is>
      </c>
      <c r="G15" t="inlineStr">
        <is>
          <t>ESSUNGA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18510-2022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44686</v>
      </c>
      <c r="E16" s="1" t="n">
        <v>46222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15552-2024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46222</v>
      </c>
      <c r="F17" t="inlineStr">
        <is>
          <t>VÄSTRA GÖTALANDS LÄN</t>
        </is>
      </c>
      <c r="G17" t="inlineStr">
        <is>
          <t>ESSUNGA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3317-2024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45317</v>
      </c>
      <c r="E18" s="1" t="n">
        <v>46222</v>
      </c>
      <c r="F18" t="inlineStr">
        <is>
          <t>VÄSTRA GÖTALANDS LÄN</t>
        </is>
      </c>
      <c r="G18" t="inlineStr">
        <is>
          <t>ESSUNGA</t>
        </is>
      </c>
      <c r="H18" t="inlineStr">
        <is>
          <t>Kyrkan</t>
        </is>
      </c>
      <c r="I18" t="n">
        <v>10.2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46222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56629-2021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44480</v>
      </c>
      <c r="E20" s="1" t="n">
        <v>46222</v>
      </c>
      <c r="F20" t="inlineStr">
        <is>
          <t>VÄSTRA GÖTALANDS LÄN</t>
        </is>
      </c>
      <c r="G20" t="inlineStr">
        <is>
          <t>ESSUNGA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64846-2023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46222</v>
      </c>
      <c r="F21" t="inlineStr">
        <is>
          <t>VÄSTRA GÖTALANDS LÄN</t>
        </is>
      </c>
      <c r="G21" t="inlineStr">
        <is>
          <t>ESSUNGA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10690-2025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45722</v>
      </c>
      <c r="E22" s="1" t="n">
        <v>46222</v>
      </c>
      <c r="F22" t="inlineStr">
        <is>
          <t>VÄSTRA GÖTALANDS LÄN</t>
        </is>
      </c>
      <c r="G22" t="inlineStr">
        <is>
          <t>ESSUNGA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60138-2022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44909</v>
      </c>
      <c r="E23" s="1" t="n">
        <v>46222</v>
      </c>
      <c r="F23" t="inlineStr">
        <is>
          <t>VÄSTRA GÖTALANDS LÄN</t>
        </is>
      </c>
      <c r="G23" t="inlineStr">
        <is>
          <t>ESSUNGA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46222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12421-2024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45379</v>
      </c>
      <c r="E25" s="1" t="n">
        <v>46222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38794-2025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45887</v>
      </c>
      <c r="E26" s="1" t="n">
        <v>46222</v>
      </c>
      <c r="F26" t="inlineStr">
        <is>
          <t>VÄSTRA GÖTALANDS LÄN</t>
        </is>
      </c>
      <c r="G26" t="inlineStr">
        <is>
          <t>ESSUNGA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46222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46222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32615-2025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46222</v>
      </c>
      <c r="F29" t="inlineStr">
        <is>
          <t>VÄSTRA GÖTALANDS LÄN</t>
        </is>
      </c>
      <c r="G29" t="inlineStr">
        <is>
          <t>ESSUNGA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46222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46222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46222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46222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46222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46222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46222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45939</v>
      </c>
      <c r="E37" s="1" t="n">
        <v>46222</v>
      </c>
      <c r="F37" t="inlineStr">
        <is>
          <t>VÄSTRA GÖTALANDS LÄN</t>
        </is>
      </c>
      <c r="G37" t="inlineStr">
        <is>
          <t>ESSUNGA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60768-2024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46222</v>
      </c>
      <c r="F38" t="inlineStr">
        <is>
          <t>VÄSTRA GÖTALANDS LÄN</t>
        </is>
      </c>
      <c r="G38" t="inlineStr">
        <is>
          <t>ESSUNGA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51380-2025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45950</v>
      </c>
      <c r="E39" s="1" t="n">
        <v>46222</v>
      </c>
      <c r="F39" t="inlineStr">
        <is>
          <t>VÄSTRA GÖTALANDS LÄN</t>
        </is>
      </c>
      <c r="G39" t="inlineStr">
        <is>
          <t>ESSUNGA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8672-2026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46066</v>
      </c>
      <c r="E40" s="1" t="n">
        <v>46222</v>
      </c>
      <c r="F40" t="inlineStr">
        <is>
          <t>VÄSTRA GÖTALANDS LÄN</t>
        </is>
      </c>
      <c r="G40" t="inlineStr">
        <is>
          <t>ESSUNGA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9531-2026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46222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36603-2022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44804</v>
      </c>
      <c r="E42" s="1" t="n">
        <v>46222</v>
      </c>
      <c r="F42" t="inlineStr">
        <is>
          <t>VÄSTRA GÖTALANDS LÄN</t>
        </is>
      </c>
      <c r="G42" t="inlineStr">
        <is>
          <t>ESSUNGA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46222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57160-2025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45979</v>
      </c>
      <c r="E44" s="1" t="n">
        <v>46222</v>
      </c>
      <c r="F44" t="inlineStr">
        <is>
          <t>VÄSTRA GÖTALANDS LÄN</t>
        </is>
      </c>
      <c r="G44" t="inlineStr">
        <is>
          <t>ESSUNGA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57161-2025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46222</v>
      </c>
      <c r="F45" t="inlineStr">
        <is>
          <t>VÄSTRA GÖTALANDS LÄN</t>
        </is>
      </c>
      <c r="G45" t="inlineStr">
        <is>
          <t>ESSUNGA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12203-2026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46087</v>
      </c>
      <c r="E46" s="1" t="n">
        <v>46222</v>
      </c>
      <c r="F46" t="inlineStr">
        <is>
          <t>VÄSTRA GÖTALANDS LÄN</t>
        </is>
      </c>
      <c r="G46" t="inlineStr">
        <is>
          <t>ESSUNGA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46222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34702-2022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46222</v>
      </c>
      <c r="F48" t="inlineStr">
        <is>
          <t>VÄSTRA GÖTALANDS LÄN</t>
        </is>
      </c>
      <c r="G48" t="inlineStr">
        <is>
          <t>ESSUNGA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45926</v>
      </c>
      <c r="E49" s="1" t="n">
        <v>46222</v>
      </c>
      <c r="F49" t="inlineStr">
        <is>
          <t>VÄSTRA GÖTALANDS LÄN</t>
        </is>
      </c>
      <c r="G49" t="inlineStr">
        <is>
          <t>ESSUNGA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46222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45542</v>
      </c>
      <c r="E51" s="1" t="n">
        <v>46222</v>
      </c>
      <c r="F51" t="inlineStr">
        <is>
          <t>VÄSTRA GÖTALANDS LÄN</t>
        </is>
      </c>
      <c r="G51" t="inlineStr">
        <is>
          <t>ESSUNGA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46222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45656</v>
      </c>
      <c r="E53" s="1" t="n">
        <v>46222</v>
      </c>
      <c r="F53" t="inlineStr">
        <is>
          <t>VÄSTRA GÖTALANDS LÄN</t>
        </is>
      </c>
      <c r="G53" t="inlineStr">
        <is>
          <t>ESSUNGA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62373-2021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46222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44727</v>
      </c>
      <c r="E55" s="1" t="n">
        <v>46222</v>
      </c>
      <c r="F55" t="inlineStr">
        <is>
          <t>VÄSTRA GÖTALANDS LÄN</t>
        </is>
      </c>
      <c r="G55" t="inlineStr">
        <is>
          <t>ESSUNGA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46106</v>
      </c>
      <c r="E56" s="1" t="n">
        <v>46222</v>
      </c>
      <c r="F56" t="inlineStr">
        <is>
          <t>VÄSTRA GÖTALANDS LÄN</t>
        </is>
      </c>
      <c r="G56" t="inlineStr">
        <is>
          <t>ESSUNGA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33817-2023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46222</v>
      </c>
      <c r="F57" t="inlineStr">
        <is>
          <t>VÄSTRA GÖTALANDS LÄN</t>
        </is>
      </c>
      <c r="G57" t="inlineStr">
        <is>
          <t>ESSUNGA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17412-2026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46120</v>
      </c>
      <c r="E58" s="1" t="n">
        <v>46222</v>
      </c>
      <c r="F58" t="inlineStr">
        <is>
          <t>VÄSTRA GÖTALANDS LÄN</t>
        </is>
      </c>
      <c r="G58" t="inlineStr">
        <is>
          <t>ESSUNGA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17386-2026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46222</v>
      </c>
      <c r="F59" t="inlineStr">
        <is>
          <t>VÄSTRA GÖTALANDS LÄN</t>
        </is>
      </c>
      <c r="G59" t="inlineStr">
        <is>
          <t>ESSUNGA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13876-2023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46222</v>
      </c>
      <c r="F60" t="inlineStr">
        <is>
          <t>VÄSTRA GÖTALANDS LÄN</t>
        </is>
      </c>
      <c r="G60" t="inlineStr">
        <is>
          <t>ESSUNGA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4954-2024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45329</v>
      </c>
      <c r="E61" s="1" t="n">
        <v>46222</v>
      </c>
      <c r="F61" t="inlineStr">
        <is>
          <t>VÄSTRA GÖTALANDS LÄN</t>
        </is>
      </c>
      <c r="G61" t="inlineStr">
        <is>
          <t>ESSUNGA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46222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38243-2024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46222</v>
      </c>
      <c r="F63" t="inlineStr">
        <is>
          <t>VÄSTRA GÖTALANDS LÄN</t>
        </is>
      </c>
      <c r="G63" t="inlineStr">
        <is>
          <t>ESSUNGA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16248-2022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46222</v>
      </c>
      <c r="F64" t="inlineStr">
        <is>
          <t>VÄSTRA GÖTALANDS LÄN</t>
        </is>
      </c>
      <c r="G64" t="inlineStr">
        <is>
          <t>ESSUNGA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46222</v>
      </c>
      <c r="F65" t="inlineStr">
        <is>
          <t>VÄSTRA GÖTALANDS LÄN</t>
        </is>
      </c>
      <c r="G65" t="inlineStr">
        <is>
          <t>ESSUNGA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54555-2023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46222</v>
      </c>
      <c r="F66" t="inlineStr">
        <is>
          <t>VÄSTRA GÖTALANDS LÄN</t>
        </is>
      </c>
      <c r="G66" t="inlineStr">
        <is>
          <t>ESSUNGA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44992-2023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45190</v>
      </c>
      <c r="E67" s="1" t="n">
        <v>46222</v>
      </c>
      <c r="F67" t="inlineStr">
        <is>
          <t>VÄSTRA GÖTALANDS LÄN</t>
        </is>
      </c>
      <c r="G67" t="inlineStr">
        <is>
          <t>ESSUNGA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892-2023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46222</v>
      </c>
      <c r="F68" t="inlineStr">
        <is>
          <t>VÄSTRA GÖTALANDS LÄN</t>
        </is>
      </c>
      <c r="G68" t="inlineStr">
        <is>
          <t>ESSUNGA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21294-2026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46147</v>
      </c>
      <c r="E69" s="1" t="n">
        <v>46222</v>
      </c>
      <c r="F69" t="inlineStr">
        <is>
          <t>VÄSTRA GÖTALANDS LÄN</t>
        </is>
      </c>
      <c r="G69" t="inlineStr">
        <is>
          <t>ESSUNGA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28308-2026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46196</v>
      </c>
      <c r="E70" s="1" t="n">
        <v>46222</v>
      </c>
      <c r="F70" t="inlineStr">
        <is>
          <t>VÄSTRA GÖTALANDS LÄN</t>
        </is>
      </c>
      <c r="G70" t="inlineStr">
        <is>
          <t>ESSUNGA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45322</v>
      </c>
      <c r="E71" s="1" t="n">
        <v>46222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46222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15306-2024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46222</v>
      </c>
      <c r="F73" t="inlineStr">
        <is>
          <t>VÄSTRA GÖTALANDS LÄN</t>
        </is>
      </c>
      <c r="G73" t="inlineStr">
        <is>
          <t>ESSUNGA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50364-2024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45600</v>
      </c>
      <c r="E74" s="1" t="n">
        <v>46222</v>
      </c>
      <c r="F74" t="inlineStr">
        <is>
          <t>VÄSTRA GÖTALANDS LÄN</t>
        </is>
      </c>
      <c r="G74" t="inlineStr">
        <is>
          <t>ESSUNGA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46222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46222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46222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46222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62360-2021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46222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45131</v>
      </c>
      <c r="E80" s="1" t="n">
        <v>46222</v>
      </c>
      <c r="F80" t="inlineStr">
        <is>
          <t>VÄSTRA GÖTALANDS LÄN</t>
        </is>
      </c>
      <c r="G80" t="inlineStr">
        <is>
          <t>ESSUNGA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46222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46222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44815</v>
      </c>
      <c r="E83" s="1" t="n">
        <v>46222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46222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20332-2023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45056</v>
      </c>
      <c r="E85" s="1" t="n">
        <v>46222</v>
      </c>
      <c r="F85" t="inlineStr">
        <is>
          <t>VÄSTRA GÖTALANDS LÄN</t>
        </is>
      </c>
      <c r="G85" t="inlineStr">
        <is>
          <t>ESSUNGA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10164-2025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46222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>
      <c r="A87" t="inlineStr">
        <is>
          <t>A 9374-2025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45715</v>
      </c>
      <c r="E87" s="1" t="n">
        <v>46222</v>
      </c>
      <c r="F87" t="inlineStr">
        <is>
          <t>VÄSTRA GÖTALANDS LÄN</t>
        </is>
      </c>
      <c r="G87" t="inlineStr">
        <is>
          <t>ESSUNGA</t>
        </is>
      </c>
      <c r="H87" t="inlineStr">
        <is>
          <t>Kyrkan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2026-07-19T01:33:25Z</dcterms:created>
  <dcterms:modified xmlns:dcterms="http://purl.org/dc/terms/" xmlns:xsi="http://www.w3.org/2001/XMLSchema-instance" xsi:type="dcterms:W3CDTF">2026-07-19T01:33:25Z</dcterms:modified>
</cp:coreProperties>
</file>